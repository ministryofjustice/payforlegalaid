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robert.buczek/Projects/payforlegalaid/src/main/resources/"/>
    </mc:Choice>
  </mc:AlternateContent>
  <xr:revisionPtr revIDLastSave="0" documentId="13_ncr:1_{E447F98E-8850-ED4C-89D9-8CDD6082CCBB}" xr6:coauthVersionLast="47" xr6:coauthVersionMax="47" xr10:uidLastSave="{00000000-0000-0000-0000-000000000000}"/>
  <bookViews>
    <workbookView xWindow="0" yWindow="880" windowWidth="29040" windowHeight="15840" activeTab="6" xr2:uid="{00000000-000D-0000-FFFF-FFFF00000000}"/>
  </bookViews>
  <sheets>
    <sheet name="MAIN" sheetId="1" r:id="rId1"/>
    <sheet name="MAIN WOFF MIG ERROR" sheetId="2" r:id="rId2"/>
    <sheet name="Reconciliation" sheetId="3" r:id="rId3"/>
    <sheet name="Age Profile" sheetId="4" r:id="rId4"/>
    <sheet name="Civil Movement Report" sheetId="5" r:id="rId5"/>
    <sheet name="All Debts by Type Summary" sheetId="6" r:id="rId6"/>
    <sheet name="Civil Debt Exceptions" sheetId="8" r:id="rId7"/>
    <sheet name="Third Party Cash Receipt Income" sheetId="9" r:id="rId8"/>
  </sheets>
  <externalReferences>
    <externalReference r:id="rId9"/>
    <externalReference r:id="rId10"/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9" l="1"/>
  <c r="F6" i="9"/>
  <c r="E6" i="9"/>
  <c r="D6" i="9"/>
  <c r="C6" i="9"/>
  <c r="B6" i="9"/>
  <c r="H6" i="9" s="1"/>
  <c r="F4" i="9"/>
  <c r="F7" i="9" s="1"/>
  <c r="E4" i="9"/>
  <c r="E7" i="9" s="1"/>
  <c r="D4" i="9"/>
  <c r="D7" i="9" s="1"/>
  <c r="C4" i="9"/>
  <c r="C7" i="9" s="1"/>
  <c r="B4" i="9"/>
  <c r="B7" i="9" s="1"/>
  <c r="H7" i="9" s="1"/>
  <c r="G39" i="8"/>
  <c r="F39" i="8"/>
  <c r="E39" i="8"/>
  <c r="D39" i="8"/>
  <c r="C39" i="8"/>
  <c r="I39" i="8" s="1"/>
  <c r="I38" i="8"/>
  <c r="G38" i="8"/>
  <c r="F38" i="8"/>
  <c r="E38" i="8"/>
  <c r="D38" i="8"/>
  <c r="C38" i="8"/>
  <c r="G37" i="8"/>
  <c r="F37" i="8"/>
  <c r="E37" i="8"/>
  <c r="D37" i="8"/>
  <c r="C37" i="8"/>
  <c r="I37" i="8" s="1"/>
  <c r="G36" i="8"/>
  <c r="F36" i="8"/>
  <c r="E36" i="8"/>
  <c r="D36" i="8"/>
  <c r="C36" i="8"/>
  <c r="I36" i="8" s="1"/>
  <c r="I35" i="8"/>
  <c r="G35" i="8"/>
  <c r="F35" i="8"/>
  <c r="E35" i="8"/>
  <c r="D35" i="8"/>
  <c r="C35" i="8"/>
  <c r="G34" i="8"/>
  <c r="F34" i="8"/>
  <c r="E34" i="8"/>
  <c r="D34" i="8"/>
  <c r="C34" i="8"/>
  <c r="I34" i="8" s="1"/>
  <c r="I33" i="8"/>
  <c r="G33" i="8"/>
  <c r="F33" i="8"/>
  <c r="F41" i="8" s="1"/>
  <c r="E33" i="8"/>
  <c r="D33" i="8"/>
  <c r="C33" i="8"/>
  <c r="I32" i="8"/>
  <c r="G32" i="8"/>
  <c r="F32" i="8"/>
  <c r="E32" i="8"/>
  <c r="D32" i="8"/>
  <c r="C32" i="8"/>
  <c r="G31" i="8"/>
  <c r="G41" i="8" s="1"/>
  <c r="F31" i="8"/>
  <c r="E31" i="8"/>
  <c r="D31" i="8"/>
  <c r="I30" i="8"/>
  <c r="G30" i="8"/>
  <c r="F30" i="8"/>
  <c r="E30" i="8"/>
  <c r="D30" i="8"/>
  <c r="C30" i="8"/>
  <c r="C31" i="8" s="1"/>
  <c r="I31" i="8" s="1"/>
  <c r="G29" i="8"/>
  <c r="G43" i="8" s="1"/>
  <c r="F29" i="8"/>
  <c r="F43" i="8" s="1"/>
  <c r="E29" i="8"/>
  <c r="E43" i="8" s="1"/>
  <c r="D29" i="8"/>
  <c r="D43" i="8" s="1"/>
  <c r="C29" i="8"/>
  <c r="I29" i="8" s="1"/>
  <c r="I43" i="8" s="1"/>
  <c r="I28" i="8"/>
  <c r="G28" i="8"/>
  <c r="F28" i="8"/>
  <c r="E28" i="8"/>
  <c r="E41" i="8" s="1"/>
  <c r="D28" i="8"/>
  <c r="D41" i="8" s="1"/>
  <c r="C28" i="8"/>
  <c r="C41" i="8" s="1"/>
  <c r="C14" i="3" s="1"/>
  <c r="I19" i="8"/>
  <c r="G19" i="8"/>
  <c r="F19" i="8"/>
  <c r="E19" i="8"/>
  <c r="D19" i="8"/>
  <c r="C19" i="8"/>
  <c r="I18" i="8"/>
  <c r="G18" i="8"/>
  <c r="G52" i="5" s="1"/>
  <c r="F18" i="8"/>
  <c r="F52" i="5" s="1"/>
  <c r="E18" i="8"/>
  <c r="E52" i="5" s="1"/>
  <c r="D18" i="8"/>
  <c r="D52" i="5" s="1"/>
  <c r="C18" i="8"/>
  <c r="I17" i="8"/>
  <c r="G17" i="8"/>
  <c r="F17" i="8"/>
  <c r="E17" i="8"/>
  <c r="D17" i="8"/>
  <c r="C17" i="8"/>
  <c r="G16" i="8"/>
  <c r="F16" i="8"/>
  <c r="E16" i="8"/>
  <c r="D16" i="8"/>
  <c r="C16" i="8"/>
  <c r="I16" i="8" s="1"/>
  <c r="I15" i="8"/>
  <c r="G15" i="8"/>
  <c r="F15" i="8"/>
  <c r="E15" i="8"/>
  <c r="D15" i="8"/>
  <c r="C15" i="8"/>
  <c r="G14" i="8"/>
  <c r="F14" i="8"/>
  <c r="E14" i="8"/>
  <c r="D14" i="8"/>
  <c r="D50" i="5" s="1"/>
  <c r="C14" i="8"/>
  <c r="I14" i="8" s="1"/>
  <c r="I13" i="8"/>
  <c r="G13" i="8"/>
  <c r="G23" i="5" s="1"/>
  <c r="F13" i="8"/>
  <c r="F23" i="5" s="1"/>
  <c r="E13" i="8"/>
  <c r="D13" i="8"/>
  <c r="C13" i="8"/>
  <c r="I12" i="8"/>
  <c r="G12" i="8"/>
  <c r="F12" i="8"/>
  <c r="F49" i="5" s="1"/>
  <c r="E12" i="8"/>
  <c r="D12" i="8"/>
  <c r="C12" i="8"/>
  <c r="G11" i="8"/>
  <c r="G22" i="5" s="1"/>
  <c r="F11" i="8"/>
  <c r="F22" i="5" s="1"/>
  <c r="E11" i="8"/>
  <c r="E22" i="5" s="1"/>
  <c r="D11" i="8"/>
  <c r="I10" i="8"/>
  <c r="G10" i="8"/>
  <c r="F10" i="8"/>
  <c r="E10" i="8"/>
  <c r="D10" i="8"/>
  <c r="C10" i="8"/>
  <c r="C11" i="8" s="1"/>
  <c r="I11" i="8" s="1"/>
  <c r="G9" i="8"/>
  <c r="G23" i="8" s="1"/>
  <c r="F9" i="8"/>
  <c r="F48" i="5" s="1"/>
  <c r="E9" i="8"/>
  <c r="E48" i="5" s="1"/>
  <c r="D9" i="8"/>
  <c r="D48" i="5" s="1"/>
  <c r="D54" i="5" s="1"/>
  <c r="C9" i="8"/>
  <c r="C23" i="8" s="1"/>
  <c r="I8" i="8"/>
  <c r="G8" i="8"/>
  <c r="F8" i="8"/>
  <c r="E8" i="8"/>
  <c r="E21" i="8" s="1"/>
  <c r="D8" i="8"/>
  <c r="D21" i="8" s="1"/>
  <c r="C8" i="8"/>
  <c r="G26" i="5"/>
  <c r="F26" i="5"/>
  <c r="E26" i="5"/>
  <c r="D26" i="5"/>
  <c r="E25" i="5"/>
  <c r="D25" i="5"/>
  <c r="F24" i="5"/>
  <c r="E24" i="5"/>
  <c r="D24" i="5"/>
  <c r="C23" i="5"/>
  <c r="I23" i="5" s="1"/>
  <c r="D22" i="5"/>
  <c r="G21" i="5"/>
  <c r="F21" i="5"/>
  <c r="G20" i="5"/>
  <c r="G28" i="5" s="1"/>
  <c r="F20" i="5"/>
  <c r="F12" i="5"/>
  <c r="E12" i="5"/>
  <c r="D12" i="5"/>
  <c r="C11" i="5"/>
  <c r="I11" i="5" s="1"/>
  <c r="D10" i="5"/>
  <c r="G9" i="5"/>
  <c r="F9" i="5"/>
  <c r="G8" i="5"/>
  <c r="F8" i="5"/>
  <c r="G7" i="5"/>
  <c r="F7" i="5"/>
  <c r="E7" i="5"/>
  <c r="D7" i="5"/>
  <c r="E6" i="5"/>
  <c r="E14" i="5" s="1"/>
  <c r="D6" i="5"/>
  <c r="G40" i="5"/>
  <c r="D40" i="5"/>
  <c r="G38" i="5"/>
  <c r="E38" i="5"/>
  <c r="F37" i="5"/>
  <c r="F36" i="5"/>
  <c r="E36" i="5"/>
  <c r="C36" i="5"/>
  <c r="G41" i="6"/>
  <c r="G40" i="6"/>
  <c r="F40" i="6"/>
  <c r="E40" i="6"/>
  <c r="D39" i="6"/>
  <c r="C39" i="6"/>
  <c r="G38" i="6"/>
  <c r="F38" i="6"/>
  <c r="E38" i="6"/>
  <c r="D38" i="6"/>
  <c r="C38" i="6"/>
  <c r="G31" i="6"/>
  <c r="G30" i="6"/>
  <c r="F30" i="6"/>
  <c r="E30" i="6"/>
  <c r="F29" i="6"/>
  <c r="E29" i="6"/>
  <c r="E28" i="6"/>
  <c r="C28" i="6"/>
  <c r="E27" i="6"/>
  <c r="F26" i="6"/>
  <c r="E26" i="6"/>
  <c r="D26" i="6"/>
  <c r="C26" i="6"/>
  <c r="C17" i="6"/>
  <c r="O15" i="6"/>
  <c r="N15" i="6"/>
  <c r="M15" i="6"/>
  <c r="L15" i="6"/>
  <c r="K15" i="6"/>
  <c r="Q15" i="6" s="1"/>
  <c r="G15" i="6"/>
  <c r="F15" i="6"/>
  <c r="F31" i="6" s="1"/>
  <c r="E15" i="6"/>
  <c r="E31" i="6" s="1"/>
  <c r="D15" i="6"/>
  <c r="D31" i="6" s="1"/>
  <c r="C15" i="6"/>
  <c r="I15" i="6" s="1"/>
  <c r="I31" i="6" s="1"/>
  <c r="Q14" i="6"/>
  <c r="O14" i="6"/>
  <c r="N14" i="6"/>
  <c r="M14" i="6"/>
  <c r="L14" i="6"/>
  <c r="K14" i="6"/>
  <c r="G14" i="6"/>
  <c r="F14" i="6"/>
  <c r="F41" i="6" s="1"/>
  <c r="E14" i="6"/>
  <c r="E41" i="6" s="1"/>
  <c r="D14" i="6"/>
  <c r="D41" i="6" s="1"/>
  <c r="C14" i="6"/>
  <c r="I14" i="6" s="1"/>
  <c r="I41" i="6" s="1"/>
  <c r="Q13" i="6"/>
  <c r="O13" i="6"/>
  <c r="N13" i="6"/>
  <c r="M13" i="6"/>
  <c r="L13" i="6"/>
  <c r="K13" i="6"/>
  <c r="G13" i="6"/>
  <c r="F13" i="6"/>
  <c r="E13" i="6"/>
  <c r="D13" i="6"/>
  <c r="D30" i="6" s="1"/>
  <c r="C13" i="6"/>
  <c r="C30" i="6" s="1"/>
  <c r="O12" i="6"/>
  <c r="N12" i="6"/>
  <c r="M12" i="6"/>
  <c r="L12" i="6"/>
  <c r="K12" i="6"/>
  <c r="Q12" i="6" s="1"/>
  <c r="G12" i="6"/>
  <c r="F12" i="6"/>
  <c r="E12" i="6"/>
  <c r="D12" i="6"/>
  <c r="D40" i="6" s="1"/>
  <c r="C12" i="6"/>
  <c r="I12" i="6" s="1"/>
  <c r="I40" i="6" s="1"/>
  <c r="O11" i="6"/>
  <c r="N11" i="6"/>
  <c r="M11" i="6"/>
  <c r="L11" i="6"/>
  <c r="K11" i="6"/>
  <c r="Q11" i="6" s="1"/>
  <c r="I11" i="6"/>
  <c r="I29" i="6" s="1"/>
  <c r="G11" i="6"/>
  <c r="G29" i="6" s="1"/>
  <c r="F11" i="6"/>
  <c r="E11" i="6"/>
  <c r="D11" i="6"/>
  <c r="D29" i="6" s="1"/>
  <c r="C11" i="6"/>
  <c r="C29" i="6" s="1"/>
  <c r="O10" i="6"/>
  <c r="N10" i="6"/>
  <c r="M10" i="6"/>
  <c r="L10" i="6"/>
  <c r="K10" i="6"/>
  <c r="Q10" i="6" s="1"/>
  <c r="I10" i="6"/>
  <c r="I39" i="6" s="1"/>
  <c r="G10" i="6"/>
  <c r="G39" i="6" s="1"/>
  <c r="F10" i="6"/>
  <c r="F39" i="6" s="1"/>
  <c r="E10" i="6"/>
  <c r="E39" i="6" s="1"/>
  <c r="D10" i="6"/>
  <c r="C10" i="6"/>
  <c r="O9" i="6"/>
  <c r="N9" i="6"/>
  <c r="M9" i="6"/>
  <c r="L9" i="6"/>
  <c r="K9" i="6"/>
  <c r="Q9" i="6" s="1"/>
  <c r="G9" i="6"/>
  <c r="G28" i="6" s="1"/>
  <c r="F9" i="6"/>
  <c r="F28" i="6" s="1"/>
  <c r="E9" i="6"/>
  <c r="E17" i="6" s="1"/>
  <c r="E5" i="3" s="1"/>
  <c r="E7" i="3" s="1"/>
  <c r="D9" i="6"/>
  <c r="D28" i="6" s="1"/>
  <c r="C9" i="6"/>
  <c r="I9" i="6" s="1"/>
  <c r="I28" i="6" s="1"/>
  <c r="O8" i="6"/>
  <c r="N8" i="6"/>
  <c r="M8" i="6"/>
  <c r="L8" i="6"/>
  <c r="K8" i="6"/>
  <c r="Q8" i="6" s="1"/>
  <c r="G8" i="6"/>
  <c r="F8" i="6"/>
  <c r="E8" i="6"/>
  <c r="D8" i="6"/>
  <c r="C8" i="6"/>
  <c r="I8" i="6" s="1"/>
  <c r="I38" i="6" s="1"/>
  <c r="Q7" i="6"/>
  <c r="O7" i="6"/>
  <c r="N7" i="6"/>
  <c r="M7" i="6"/>
  <c r="L7" i="6"/>
  <c r="K7" i="6"/>
  <c r="G7" i="6"/>
  <c r="G27" i="6" s="1"/>
  <c r="F7" i="6"/>
  <c r="F27" i="6" s="1"/>
  <c r="E7" i="6"/>
  <c r="D7" i="6"/>
  <c r="D27" i="6" s="1"/>
  <c r="C7" i="6"/>
  <c r="I7" i="6" s="1"/>
  <c r="I27" i="6" s="1"/>
  <c r="Q6" i="6"/>
  <c r="O6" i="6"/>
  <c r="O17" i="6" s="1"/>
  <c r="N6" i="6"/>
  <c r="M6" i="6"/>
  <c r="L6" i="6"/>
  <c r="K6" i="6"/>
  <c r="G6" i="6"/>
  <c r="G26" i="6" s="1"/>
  <c r="F6" i="6"/>
  <c r="E6" i="6"/>
  <c r="D6" i="6"/>
  <c r="C6" i="6"/>
  <c r="I6" i="6" s="1"/>
  <c r="I26" i="6" s="1"/>
  <c r="O5" i="6"/>
  <c r="N5" i="6"/>
  <c r="N19" i="6" s="1"/>
  <c r="M5" i="6"/>
  <c r="M19" i="6" s="1"/>
  <c r="L5" i="6"/>
  <c r="L19" i="6" s="1"/>
  <c r="K5" i="6"/>
  <c r="G5" i="6"/>
  <c r="G37" i="6" s="1"/>
  <c r="G42" i="6" s="1"/>
  <c r="F5" i="6"/>
  <c r="F37" i="6" s="1"/>
  <c r="F42" i="6" s="1"/>
  <c r="E5" i="6"/>
  <c r="E37" i="6" s="1"/>
  <c r="D5" i="6"/>
  <c r="D19" i="6" s="1"/>
  <c r="D6" i="3" s="1"/>
  <c r="C5" i="6"/>
  <c r="I5" i="6" s="1"/>
  <c r="O4" i="6"/>
  <c r="N4" i="6"/>
  <c r="N17" i="6" s="1"/>
  <c r="M4" i="6"/>
  <c r="M17" i="6" s="1"/>
  <c r="L4" i="6"/>
  <c r="L17" i="6" s="1"/>
  <c r="K4" i="6"/>
  <c r="Q4" i="6" s="1"/>
  <c r="I4" i="6"/>
  <c r="G4" i="6"/>
  <c r="G25" i="6" s="1"/>
  <c r="G32" i="6" s="1"/>
  <c r="F4" i="6"/>
  <c r="F25" i="6" s="1"/>
  <c r="F32" i="6" s="1"/>
  <c r="E4" i="6"/>
  <c r="E25" i="6" s="1"/>
  <c r="E32" i="6" s="1"/>
  <c r="E33" i="6" s="1"/>
  <c r="D4" i="6"/>
  <c r="D25" i="6" s="1"/>
  <c r="D32" i="6" s="1"/>
  <c r="C4" i="6"/>
  <c r="C25" i="6" s="1"/>
  <c r="C32" i="6" s="1"/>
  <c r="C33" i="6" s="1"/>
  <c r="E54" i="5"/>
  <c r="C52" i="5"/>
  <c r="I52" i="5" s="1"/>
  <c r="G51" i="5"/>
  <c r="F51" i="5"/>
  <c r="E51" i="5"/>
  <c r="D51" i="5"/>
  <c r="C51" i="5"/>
  <c r="I51" i="5" s="1"/>
  <c r="G50" i="5"/>
  <c r="F50" i="5"/>
  <c r="E50" i="5"/>
  <c r="G49" i="5"/>
  <c r="E49" i="5"/>
  <c r="D49" i="5"/>
  <c r="C49" i="5"/>
  <c r="I49" i="5" s="1"/>
  <c r="G48" i="5"/>
  <c r="G54" i="5" s="1"/>
  <c r="F40" i="5"/>
  <c r="E40" i="5"/>
  <c r="G39" i="5"/>
  <c r="F39" i="5"/>
  <c r="E39" i="5"/>
  <c r="D39" i="5"/>
  <c r="C39" i="5"/>
  <c r="I39" i="5" s="1"/>
  <c r="F38" i="5"/>
  <c r="D38" i="5"/>
  <c r="C38" i="5"/>
  <c r="I38" i="5" s="1"/>
  <c r="G37" i="5"/>
  <c r="E37" i="5"/>
  <c r="D37" i="5"/>
  <c r="C37" i="5"/>
  <c r="I37" i="5" s="1"/>
  <c r="G36" i="5"/>
  <c r="G42" i="5" s="1"/>
  <c r="I28" i="5"/>
  <c r="K28" i="5" s="1"/>
  <c r="C26" i="5"/>
  <c r="I26" i="5" s="1"/>
  <c r="G25" i="5"/>
  <c r="F25" i="5"/>
  <c r="C25" i="5"/>
  <c r="I25" i="5" s="1"/>
  <c r="G24" i="5"/>
  <c r="E23" i="5"/>
  <c r="D23" i="5"/>
  <c r="E21" i="5"/>
  <c r="D21" i="5"/>
  <c r="C21" i="5"/>
  <c r="I21" i="5" s="1"/>
  <c r="I20" i="5"/>
  <c r="E20" i="5"/>
  <c r="E28" i="5" s="1"/>
  <c r="D20" i="5"/>
  <c r="C20" i="5"/>
  <c r="G12" i="5"/>
  <c r="G11" i="5"/>
  <c r="F11" i="5"/>
  <c r="E11" i="5"/>
  <c r="D11" i="5"/>
  <c r="G10" i="5"/>
  <c r="F10" i="5"/>
  <c r="E10" i="5"/>
  <c r="E9" i="5"/>
  <c r="D9" i="5"/>
  <c r="C9" i="5"/>
  <c r="I9" i="5" s="1"/>
  <c r="I8" i="5"/>
  <c r="E8" i="5"/>
  <c r="D8" i="5"/>
  <c r="C8" i="5"/>
  <c r="C7" i="5"/>
  <c r="I7" i="5" s="1"/>
  <c r="I6" i="5"/>
  <c r="I14" i="5" s="1"/>
  <c r="G6" i="5"/>
  <c r="F6" i="5"/>
  <c r="F14" i="5" s="1"/>
  <c r="C6" i="5"/>
  <c r="C14" i="5" s="1"/>
  <c r="F33" i="4"/>
  <c r="E33" i="4"/>
  <c r="E34" i="4" s="1"/>
  <c r="D33" i="4"/>
  <c r="D34" i="4" s="1"/>
  <c r="C33" i="4"/>
  <c r="C34" i="4" s="1"/>
  <c r="F32" i="4"/>
  <c r="E32" i="4"/>
  <c r="C32" i="4"/>
  <c r="F31" i="4"/>
  <c r="E31" i="4"/>
  <c r="D31" i="4"/>
  <c r="C31" i="4"/>
  <c r="B31" i="4"/>
  <c r="H30" i="4"/>
  <c r="D30" i="4"/>
  <c r="F29" i="4"/>
  <c r="E29" i="4"/>
  <c r="C29" i="4"/>
  <c r="B29" i="4"/>
  <c r="F28" i="4"/>
  <c r="E28" i="4"/>
  <c r="B28" i="4"/>
  <c r="F27" i="4"/>
  <c r="E27" i="4"/>
  <c r="B27" i="4"/>
  <c r="F26" i="4"/>
  <c r="E26" i="4"/>
  <c r="D26" i="4"/>
  <c r="C26" i="4"/>
  <c r="F25" i="4"/>
  <c r="E25" i="4"/>
  <c r="C25" i="4"/>
  <c r="F24" i="4"/>
  <c r="E24" i="4"/>
  <c r="D24" i="4"/>
  <c r="C24" i="4"/>
  <c r="B24" i="4"/>
  <c r="H23" i="4"/>
  <c r="F23" i="4"/>
  <c r="F30" i="4" s="1"/>
  <c r="E23" i="4"/>
  <c r="E30" i="4" s="1"/>
  <c r="D23" i="4"/>
  <c r="D28" i="4" s="1"/>
  <c r="C23" i="4"/>
  <c r="C28" i="4" s="1"/>
  <c r="B23" i="4"/>
  <c r="B33" i="4" s="1"/>
  <c r="B34" i="4" s="1"/>
  <c r="E17" i="4"/>
  <c r="D17" i="4"/>
  <c r="B17" i="4"/>
  <c r="F16" i="4"/>
  <c r="E16" i="4"/>
  <c r="D16" i="4"/>
  <c r="C16" i="4"/>
  <c r="B16" i="4"/>
  <c r="E15" i="4"/>
  <c r="D15" i="4"/>
  <c r="B15" i="4"/>
  <c r="E14" i="4"/>
  <c r="D14" i="4"/>
  <c r="C14" i="4"/>
  <c r="B14" i="4"/>
  <c r="E13" i="4"/>
  <c r="D13" i="4"/>
  <c r="E12" i="4"/>
  <c r="D12" i="4"/>
  <c r="C12" i="4"/>
  <c r="E11" i="4"/>
  <c r="D11" i="4"/>
  <c r="C11" i="4"/>
  <c r="B11" i="4"/>
  <c r="E10" i="4"/>
  <c r="E9" i="4"/>
  <c r="D9" i="4"/>
  <c r="E8" i="4"/>
  <c r="D8" i="4"/>
  <c r="C8" i="4"/>
  <c r="B8" i="4"/>
  <c r="F7" i="4"/>
  <c r="E7" i="4"/>
  <c r="D7" i="4"/>
  <c r="D10" i="4" s="1"/>
  <c r="C7" i="4"/>
  <c r="C13" i="4" s="1"/>
  <c r="B7" i="4"/>
  <c r="B13" i="4" s="1"/>
  <c r="D12" i="3"/>
  <c r="D16" i="3" s="1"/>
  <c r="G14" i="2"/>
  <c r="F14" i="2"/>
  <c r="C14" i="2"/>
  <c r="B14" i="2"/>
  <c r="G11" i="2"/>
  <c r="F11" i="2" s="1"/>
  <c r="D11" i="2"/>
  <c r="L11" i="2" s="1"/>
  <c r="C11" i="2"/>
  <c r="K11" i="2" s="1"/>
  <c r="B11" i="2"/>
  <c r="G10" i="2"/>
  <c r="K10" i="2" s="1"/>
  <c r="F10" i="2"/>
  <c r="J10" i="2" s="1"/>
  <c r="D10" i="2"/>
  <c r="L10" i="2" s="1"/>
  <c r="C10" i="2"/>
  <c r="B10" i="2"/>
  <c r="H9" i="2"/>
  <c r="D9" i="2" s="1"/>
  <c r="L9" i="2" s="1"/>
  <c r="G9" i="2"/>
  <c r="F9" i="2"/>
  <c r="C9" i="2"/>
  <c r="K9" i="2" s="1"/>
  <c r="B9" i="2"/>
  <c r="J9" i="2" s="1"/>
  <c r="L8" i="2"/>
  <c r="K8" i="2"/>
  <c r="J8" i="2"/>
  <c r="H8" i="2"/>
  <c r="G8" i="2"/>
  <c r="F8" i="2"/>
  <c r="D8" i="2"/>
  <c r="C8" i="2"/>
  <c r="B8" i="2"/>
  <c r="H7" i="2"/>
  <c r="G7" i="2"/>
  <c r="F7" i="2"/>
  <c r="D7" i="2"/>
  <c r="L7" i="2" s="1"/>
  <c r="C7" i="2"/>
  <c r="H6" i="2"/>
  <c r="G6" i="2"/>
  <c r="F6" i="2" s="1"/>
  <c r="D6" i="2"/>
  <c r="L6" i="2" s="1"/>
  <c r="C6" i="2"/>
  <c r="K6" i="2" s="1"/>
  <c r="B6" i="2"/>
  <c r="J6" i="2" s="1"/>
  <c r="K5" i="2"/>
  <c r="K14" i="2" s="1"/>
  <c r="H5" i="2"/>
  <c r="G5" i="2"/>
  <c r="F5" i="2"/>
  <c r="C5" i="2"/>
  <c r="B5" i="2" s="1"/>
  <c r="J5" i="2" s="1"/>
  <c r="J14" i="2" s="1"/>
  <c r="B30" i="1"/>
  <c r="B26" i="1"/>
  <c r="B25" i="1"/>
  <c r="B24" i="1"/>
  <c r="B27" i="1" s="1"/>
  <c r="B23" i="1"/>
  <c r="B22" i="1"/>
  <c r="B21" i="1"/>
  <c r="B20" i="1"/>
  <c r="H14" i="1"/>
  <c r="G14" i="1"/>
  <c r="F14" i="1"/>
  <c r="D14" i="1"/>
  <c r="C14" i="1"/>
  <c r="G11" i="1"/>
  <c r="F11" i="1"/>
  <c r="D11" i="1"/>
  <c r="L11" i="1" s="1"/>
  <c r="C11" i="1"/>
  <c r="K11" i="1" s="1"/>
  <c r="L10" i="1"/>
  <c r="G10" i="1"/>
  <c r="F34" i="4" s="1"/>
  <c r="F10" i="1"/>
  <c r="J10" i="1" s="1"/>
  <c r="D10" i="1"/>
  <c r="C10" i="1"/>
  <c r="B10" i="1"/>
  <c r="H9" i="1"/>
  <c r="G9" i="1"/>
  <c r="F9" i="1" s="1"/>
  <c r="D9" i="1"/>
  <c r="L9" i="1" s="1"/>
  <c r="C9" i="1"/>
  <c r="K9" i="1" s="1"/>
  <c r="B9" i="1"/>
  <c r="L8" i="1"/>
  <c r="K8" i="1"/>
  <c r="H8" i="1"/>
  <c r="G8" i="1"/>
  <c r="F8" i="1"/>
  <c r="D8" i="1"/>
  <c r="C8" i="1"/>
  <c r="B8" i="1" s="1"/>
  <c r="J8" i="1" s="1"/>
  <c r="H7" i="1"/>
  <c r="G7" i="1"/>
  <c r="K7" i="1" s="1"/>
  <c r="F7" i="1"/>
  <c r="J7" i="1" s="1"/>
  <c r="D7" i="1"/>
  <c r="L7" i="1" s="1"/>
  <c r="C7" i="1"/>
  <c r="B7" i="1"/>
  <c r="H6" i="1"/>
  <c r="D6" i="1" s="1"/>
  <c r="L6" i="1" s="1"/>
  <c r="G6" i="1"/>
  <c r="F6" i="1"/>
  <c r="C6" i="1"/>
  <c r="K6" i="1" s="1"/>
  <c r="B6" i="1"/>
  <c r="J6" i="1" s="1"/>
  <c r="L5" i="1"/>
  <c r="L14" i="1" s="1"/>
  <c r="L16" i="1" s="1"/>
  <c r="K5" i="1"/>
  <c r="K14" i="1" s="1"/>
  <c r="J5" i="1"/>
  <c r="J14" i="1" s="1"/>
  <c r="H5" i="1"/>
  <c r="G5" i="1"/>
  <c r="F5" i="1"/>
  <c r="D5" i="1"/>
  <c r="C5" i="1"/>
  <c r="B5" i="1"/>
  <c r="B14" i="1" s="1"/>
  <c r="D28" i="5" l="1"/>
  <c r="E42" i="5"/>
  <c r="G14" i="5"/>
  <c r="C28" i="5"/>
  <c r="D29" i="5"/>
  <c r="K19" i="6"/>
  <c r="Q19" i="6" s="1"/>
  <c r="Q5" i="6"/>
  <c r="E19" i="6"/>
  <c r="E6" i="3" s="1"/>
  <c r="C15" i="5"/>
  <c r="E29" i="5"/>
  <c r="D14" i="5"/>
  <c r="F28" i="5"/>
  <c r="I21" i="8"/>
  <c r="D5" i="2"/>
  <c r="H14" i="2"/>
  <c r="C42" i="5"/>
  <c r="I36" i="5"/>
  <c r="I42" i="5" s="1"/>
  <c r="G17" i="6"/>
  <c r="G5" i="3" s="1"/>
  <c r="G7" i="3" s="1"/>
  <c r="D13" i="3"/>
  <c r="B7" i="2"/>
  <c r="J7" i="2" s="1"/>
  <c r="K7" i="2"/>
  <c r="C5" i="3"/>
  <c r="L28" i="5"/>
  <c r="G15" i="5"/>
  <c r="C43" i="5"/>
  <c r="J9" i="1"/>
  <c r="G17" i="1"/>
  <c r="I17" i="6"/>
  <c r="O19" i="6"/>
  <c r="H32" i="4"/>
  <c r="H25" i="4"/>
  <c r="H27" i="4"/>
  <c r="H26" i="4"/>
  <c r="H29" i="4"/>
  <c r="H28" i="4"/>
  <c r="H31" i="4"/>
  <c r="H24" i="4"/>
  <c r="H33" i="4"/>
  <c r="H34" i="4" s="1"/>
  <c r="F54" i="5"/>
  <c r="G55" i="5"/>
  <c r="J11" i="2"/>
  <c r="I37" i="6"/>
  <c r="I42" i="6" s="1"/>
  <c r="I19" i="6"/>
  <c r="F42" i="5"/>
  <c r="M28" i="5"/>
  <c r="F15" i="4"/>
  <c r="F12" i="4"/>
  <c r="F9" i="4"/>
  <c r="F13" i="4"/>
  <c r="F17" i="4"/>
  <c r="F14" i="4"/>
  <c r="F11" i="4"/>
  <c r="F10" i="4"/>
  <c r="F8" i="4"/>
  <c r="G43" i="5"/>
  <c r="C21" i="8"/>
  <c r="C13" i="3" s="1"/>
  <c r="E42" i="6"/>
  <c r="E43" i="6" s="1"/>
  <c r="C29" i="5"/>
  <c r="I41" i="8"/>
  <c r="H4" i="9"/>
  <c r="C43" i="8"/>
  <c r="D14" i="3" s="1"/>
  <c r="F21" i="8"/>
  <c r="F19" i="6"/>
  <c r="F6" i="3" s="1"/>
  <c r="I25" i="6"/>
  <c r="I32" i="6" s="1"/>
  <c r="K10" i="1"/>
  <c r="F17" i="6"/>
  <c r="F5" i="3" s="1"/>
  <c r="F7" i="3" s="1"/>
  <c r="C31" i="6"/>
  <c r="C41" i="6"/>
  <c r="D23" i="8"/>
  <c r="D55" i="5" s="1"/>
  <c r="B11" i="1"/>
  <c r="J11" i="1" s="1"/>
  <c r="C17" i="4"/>
  <c r="D29" i="4"/>
  <c r="C12" i="5"/>
  <c r="I12" i="5" s="1"/>
  <c r="C24" i="5"/>
  <c r="I24" i="5" s="1"/>
  <c r="E23" i="8"/>
  <c r="E55" i="5" s="1"/>
  <c r="B9" i="4"/>
  <c r="C27" i="4"/>
  <c r="C40" i="5"/>
  <c r="I40" i="5" s="1"/>
  <c r="K17" i="6"/>
  <c r="Q17" i="6" s="1"/>
  <c r="I9" i="8"/>
  <c r="I23" i="8" s="1"/>
  <c r="F23" i="8"/>
  <c r="F55" i="5" s="1"/>
  <c r="G21" i="8"/>
  <c r="E43" i="5"/>
  <c r="C9" i="4"/>
  <c r="B12" i="4"/>
  <c r="B25" i="4"/>
  <c r="D27" i="4"/>
  <c r="B32" i="4"/>
  <c r="C10" i="5"/>
  <c r="I10" i="5" s="1"/>
  <c r="C22" i="5"/>
  <c r="I22" i="5" s="1"/>
  <c r="C50" i="5"/>
  <c r="I50" i="5" s="1"/>
  <c r="C27" i="6"/>
  <c r="C37" i="6"/>
  <c r="C15" i="4"/>
  <c r="D25" i="4"/>
  <c r="B30" i="4"/>
  <c r="D32" i="4"/>
  <c r="D37" i="6"/>
  <c r="D42" i="6" s="1"/>
  <c r="D43" i="6" s="1"/>
  <c r="G19" i="6"/>
  <c r="G6" i="3" s="1"/>
  <c r="F43" i="5"/>
  <c r="D36" i="5"/>
  <c r="D42" i="5" s="1"/>
  <c r="D43" i="5" s="1"/>
  <c r="I13" i="6"/>
  <c r="I30" i="6" s="1"/>
  <c r="D17" i="6"/>
  <c r="D5" i="3" s="1"/>
  <c r="D7" i="3" s="1"/>
  <c r="C30" i="4"/>
  <c r="C48" i="5"/>
  <c r="B10" i="4"/>
  <c r="C10" i="4"/>
  <c r="C19" i="6"/>
  <c r="C6" i="3" s="1"/>
  <c r="I6" i="3" s="1"/>
  <c r="C40" i="6"/>
  <c r="B26" i="4"/>
  <c r="C12" i="3" l="1"/>
  <c r="C16" i="3" s="1"/>
  <c r="C17" i="3" s="1"/>
  <c r="I15" i="5"/>
  <c r="G16" i="1"/>
  <c r="C54" i="5"/>
  <c r="C55" i="5" s="1"/>
  <c r="I48" i="5"/>
  <c r="I54" i="5" s="1"/>
  <c r="G18" i="1" s="1"/>
  <c r="F29" i="5"/>
  <c r="D15" i="5"/>
  <c r="I55" i="5"/>
  <c r="D14" i="2"/>
  <c r="L5" i="2"/>
  <c r="L14" i="2" s="1"/>
  <c r="L16" i="2" s="1"/>
  <c r="D17" i="3"/>
  <c r="K16" i="1"/>
  <c r="I29" i="5"/>
  <c r="C42" i="6"/>
  <c r="C43" i="6" s="1"/>
  <c r="I43" i="5"/>
  <c r="H16" i="1"/>
  <c r="I43" i="6"/>
  <c r="C7" i="3"/>
  <c r="I5" i="3"/>
  <c r="I7" i="3" s="1"/>
  <c r="I33" i="6"/>
  <c r="D33" i="6"/>
  <c r="F33" i="6"/>
  <c r="F15" i="5"/>
  <c r="G33" i="6"/>
  <c r="E15" i="5"/>
  <c r="G29" i="5"/>
  <c r="F43" i="6"/>
  <c r="G43" i="6"/>
</calcChain>
</file>

<file path=xl/sharedStrings.xml><?xml version="1.0" encoding="utf-8"?>
<sst xmlns="http://schemas.openxmlformats.org/spreadsheetml/2006/main" count="334" uniqueCount="116">
  <si>
    <t>CCMS Third party report</t>
  </si>
  <si>
    <t>Total outstanding</t>
  </si>
  <si>
    <t>LAA Debt</t>
  </si>
  <si>
    <t>Third Party Debt</t>
  </si>
  <si>
    <t>Debt Type</t>
  </si>
  <si>
    <t>Total</t>
  </si>
  <si>
    <t>Principal Debt</t>
  </si>
  <si>
    <t>Interest (late charges)</t>
  </si>
  <si>
    <t>Contributions</t>
  </si>
  <si>
    <t>Costs</t>
  </si>
  <si>
    <t>Damages</t>
  </si>
  <si>
    <t>Revocation</t>
  </si>
  <si>
    <t>Statutory Charge - Interest Bearing</t>
  </si>
  <si>
    <t>Statutory Charge - Secured</t>
  </si>
  <si>
    <t>Statutory Charge - Unsecured</t>
  </si>
  <si>
    <t>CHECKSUM</t>
  </si>
  <si>
    <t>CHECKSUM M P</t>
  </si>
  <si>
    <t>CHECKSUM M C</t>
  </si>
  <si>
    <t>Volume</t>
  </si>
  <si>
    <t>Max final bill date</t>
  </si>
  <si>
    <t>All CCMS Debt Balances</t>
  </si>
  <si>
    <t>Does not include unapplied income or credit memo's</t>
  </si>
  <si>
    <t>Civil</t>
  </si>
  <si>
    <t>Crime Higher</t>
  </si>
  <si>
    <t>Other</t>
  </si>
  <si>
    <t>Provider</t>
  </si>
  <si>
    <t>Staff Debt</t>
  </si>
  <si>
    <t>Principal</t>
  </si>
  <si>
    <t>Interest</t>
  </si>
  <si>
    <t>Civil Balances Reported Here</t>
  </si>
  <si>
    <t>Correctly linked Debts</t>
  </si>
  <si>
    <t>Migrated in error</t>
  </si>
  <si>
    <t>Not linked to a case</t>
  </si>
  <si>
    <t>Variance in Civil Balances</t>
  </si>
  <si>
    <t>All debt aging is derived from the date each civil case's funding completed (final bill date).</t>
  </si>
  <si>
    <t>Statutory Charge Bearing</t>
  </si>
  <si>
    <t>Statutory Charge Non-bearing</t>
  </si>
  <si>
    <t>0-30 days</t>
  </si>
  <si>
    <t/>
  </si>
  <si>
    <t>31-60 days</t>
  </si>
  <si>
    <t>60-90 days</t>
  </si>
  <si>
    <t>Under 1 Year</t>
  </si>
  <si>
    <t>1- 3years</t>
  </si>
  <si>
    <t>3-5 Years</t>
  </si>
  <si>
    <t>5-10 Years</t>
  </si>
  <si>
    <t>10-15 Years</t>
  </si>
  <si>
    <t>15-20 Years</t>
  </si>
  <si>
    <t>20+ Years</t>
  </si>
  <si>
    <t>Principal Value</t>
  </si>
  <si>
    <t>LAA Principal Debt</t>
  </si>
  <si>
    <t>Transaction Type</t>
  </si>
  <si>
    <t>Statutory charge</t>
  </si>
  <si>
    <t>LAA Debt invoices</t>
  </si>
  <si>
    <t>LAA Adjustment: Other Increasing Debt</t>
  </si>
  <si>
    <t>LAA Adjustments: Other Lowering Debt</t>
  </si>
  <si>
    <t>LAA Adjustments: Writeoff Debt</t>
  </si>
  <si>
    <t>LAA Adjustments: Writedown Debt</t>
  </si>
  <si>
    <t>LAA Cash receipts: Debt</t>
  </si>
  <si>
    <t>LAA Credit memo: Debt</t>
  </si>
  <si>
    <t>Balance Principal</t>
  </si>
  <si>
    <t>Third Party Principal Debt</t>
  </si>
  <si>
    <t>Third Debt invoices</t>
  </si>
  <si>
    <t>Third Adjustment: Other Increasing Debt</t>
  </si>
  <si>
    <t>Third Adjustments:Other Lowering Debt</t>
  </si>
  <si>
    <t>Third Adjustments: Writeoff Debt</t>
  </si>
  <si>
    <t>Third Adjustments: Writedown Debt</t>
  </si>
  <si>
    <t>Third Cash receipts: Debt</t>
  </si>
  <si>
    <t>Third Credit memo: Debt</t>
  </si>
  <si>
    <t>Late Charges</t>
  </si>
  <si>
    <t>LAA Charges</t>
  </si>
  <si>
    <t>LAA Adjustment Charges</t>
  </si>
  <si>
    <t>LAA Adjustments: Writeoff Charge</t>
  </si>
  <si>
    <t>LAA Adjustments: Writedown Charge</t>
  </si>
  <si>
    <t>LAA Cash receipts: Charge</t>
  </si>
  <si>
    <t>LAA Credit memo: Late Charge</t>
  </si>
  <si>
    <t>Balance Charges</t>
  </si>
  <si>
    <t>Third Charges</t>
  </si>
  <si>
    <t>Third Adjustment Charges</t>
  </si>
  <si>
    <t>Third Adjustments: Writeoff Charge</t>
  </si>
  <si>
    <t>Third Adjustments: Writedown Charge</t>
  </si>
  <si>
    <t>Third Cash receipts: Charge</t>
  </si>
  <si>
    <t>Third Credit memo: Late Charge</t>
  </si>
  <si>
    <t>All CCMS debts by scheme</t>
  </si>
  <si>
    <t>Total Civil</t>
  </si>
  <si>
    <t>Debt invoices</t>
  </si>
  <si>
    <t>Adjustment Charges</t>
  </si>
  <si>
    <t>Adjustment: Other Increasing debt</t>
  </si>
  <si>
    <t>Adjustments: Other Lowering debt</t>
  </si>
  <si>
    <t>Adjustments: Writeoff Charge</t>
  </si>
  <si>
    <t>Adjustments: Writeoff Debt</t>
  </si>
  <si>
    <t>Adjustments: Writedown Charge</t>
  </si>
  <si>
    <t>Adjustments: Writedown Debt</t>
  </si>
  <si>
    <t>Cash receipts: Charge</t>
  </si>
  <si>
    <t>Cash receipts: Debt</t>
  </si>
  <si>
    <t>Credit memo: Late Charge</t>
  </si>
  <si>
    <t>Credit memo: Debt</t>
  </si>
  <si>
    <t>Movement Summaries</t>
  </si>
  <si>
    <t>1) Debt invoices</t>
  </si>
  <si>
    <t>2) Adjustment: Other Increasing Debt</t>
  </si>
  <si>
    <t>3) Adjustments: Other Lowering Debt</t>
  </si>
  <si>
    <t>4) Adjustments: Writeoff Debt</t>
  </si>
  <si>
    <t>5) Adjustments: Writedown Debt</t>
  </si>
  <si>
    <t>6) Cash receipts: Debt</t>
  </si>
  <si>
    <t>7) Credit memo: Debt</t>
  </si>
  <si>
    <t>8) Adjustment Charges</t>
  </si>
  <si>
    <t>9) Adjustments: Writeoff Charge</t>
  </si>
  <si>
    <t>10) Adjustments: Writedown Charge</t>
  </si>
  <si>
    <t>11) Cash receipts: Charge</t>
  </si>
  <si>
    <t>12) Credit memo: Late Charge</t>
  </si>
  <si>
    <t>Debt Transactions</t>
  </si>
  <si>
    <t>Migrated in Error</t>
  </si>
  <si>
    <t>Not Linked to Civil Case</t>
  </si>
  <si>
    <t>Total third party cash receipt income</t>
  </si>
  <si>
    <t>Total on cases with no final bill</t>
  </si>
  <si>
    <t>Total on cases with a final bill</t>
  </si>
  <si>
    <t>Volume of cases with a final bill and third party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</si>
</sst>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_-[$£-809]* #,##0.00_-;\-[$£-809]* #,##0.00_-;_-[$£-809]* &quot;-&quot;??_-;_-@_-"/>
    <numFmt numFmtId="165" formatCode="dd/mm/yyyy;@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44" fontId="1" fillId="0" borderId="0"/>
  </cellStyleXfs>
  <cellXfs count="15">
    <xf numFmtId="0" fontId="0" fillId="0" borderId="0" xfId="0"/>
    <xf numFmtId="0" fontId="2" fillId="0" borderId="0" xfId="0" applyFont="1"/>
    <xf numFmtId="44" fontId="0" fillId="0" borderId="0" xfId="2" applyFont="1"/>
    <xf numFmtId="43" fontId="0" fillId="0" borderId="0" xfId="1" applyFont="1"/>
    <xf numFmtId="43" fontId="2" fillId="0" borderId="0" xfId="1" applyFont="1"/>
    <xf numFmtId="44" fontId="2" fillId="0" borderId="0" xfId="2" applyFont="1"/>
    <xf numFmtId="0" fontId="2" fillId="0" borderId="1" xfId="0" applyFont="1" applyBorder="1"/>
    <xf numFmtId="44" fontId="2" fillId="0" borderId="1" xfId="2" applyFont="1" applyBorder="1"/>
    <xf numFmtId="14" fontId="2" fillId="0" borderId="0" xfId="2" applyNumberFormat="1" applyFont="1"/>
    <xf numFmtId="14" fontId="0" fillId="0" borderId="0" xfId="2" applyNumberFormat="1" applyFont="1"/>
    <xf numFmtId="14" fontId="2" fillId="0" borderId="1" xfId="2" applyNumberFormat="1" applyFont="1" applyBorder="1"/>
    <xf numFmtId="164" fontId="0" fillId="0" borderId="0" xfId="0" applyNumberFormat="1"/>
    <xf numFmtId="165" fontId="2" fillId="0" borderId="0" xfId="2" applyNumberFormat="1" applyFont="1"/>
    <xf numFmtId="165" fontId="2" fillId="0" borderId="0" xfId="0" applyNumberFormat="1" applyFont="1"/>
    <xf numFmtId="166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CMS_CASE_TOTALS_TRU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CMS_DEBT_SUMMARY_C_EXP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XED_CASES_EXP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CMS_CIVIL_EXCEPTIONS_EX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MS_CASE_TOTALS_TRU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MS_DEBT_SUMMARY_C_EX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XED_CASES_EXP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MS_CIVIL_EXCEPTIONS_EX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L30"/>
  <sheetViews>
    <sheetView workbookViewId="0">
      <selection activeCell="G37" sqref="G37"/>
    </sheetView>
  </sheetViews>
  <sheetFormatPr baseColWidth="10" defaultColWidth="8.83203125" defaultRowHeight="15" x14ac:dyDescent="0.2"/>
  <cols>
    <col min="1" max="1" width="54.5" bestFit="1" customWidth="1"/>
    <col min="2" max="2" width="16.5" bestFit="1" customWidth="1"/>
    <col min="3" max="3" width="16.33203125" style="2" bestFit="1" customWidth="1"/>
    <col min="4" max="4" width="20.6640625" bestFit="1" customWidth="1"/>
    <col min="5" max="5" width="10.6640625" bestFit="1" customWidth="1"/>
    <col min="6" max="7" width="16.33203125" bestFit="1" customWidth="1"/>
    <col min="8" max="8" width="22.33203125" style="2" bestFit="1" customWidth="1"/>
    <col min="9" max="9" width="9.1640625" style="2" customWidth="1"/>
    <col min="10" max="10" width="15.5" style="2" bestFit="1" customWidth="1"/>
    <col min="11" max="11" width="15.33203125" style="2" bestFit="1" customWidth="1"/>
    <col min="12" max="12" width="20.6640625" style="2" bestFit="1" customWidth="1"/>
    <col min="13" max="13" width="32.1640625" bestFit="1" customWidth="1"/>
    <col min="14" max="14" width="22.5" bestFit="1" customWidth="1"/>
  </cols>
  <sheetData>
    <row r="1" spans="1:12" x14ac:dyDescent="0.2">
      <c r="A1" s="1" t="s">
        <v>0</v>
      </c>
      <c r="B1" s="1"/>
      <c r="C1" s="12"/>
      <c r="D1" s="12"/>
      <c r="E1" s="13"/>
      <c r="F1" s="1"/>
      <c r="G1" s="1"/>
      <c r="H1" s="5"/>
      <c r="I1" s="5"/>
      <c r="J1" s="5"/>
      <c r="K1" s="5"/>
      <c r="L1" s="5"/>
    </row>
    <row r="2" spans="1:12" ht="15.75" customHeight="1" thickBot="1" x14ac:dyDescent="0.25">
      <c r="A2" s="1"/>
      <c r="B2" s="1"/>
      <c r="C2" s="5"/>
      <c r="D2" s="1"/>
      <c r="E2" s="1"/>
      <c r="F2" s="1"/>
      <c r="G2" s="1"/>
      <c r="H2" s="5"/>
      <c r="I2" s="8"/>
      <c r="J2" s="5"/>
      <c r="K2" s="5"/>
      <c r="L2" s="5"/>
    </row>
    <row r="3" spans="1:12" ht="15.75" customHeight="1" thickBot="1" x14ac:dyDescent="0.25">
      <c r="A3" s="1"/>
      <c r="B3" s="1" t="s">
        <v>1</v>
      </c>
      <c r="C3" s="5"/>
      <c r="D3" s="1"/>
      <c r="E3" s="1"/>
      <c r="F3" s="1" t="s">
        <v>2</v>
      </c>
      <c r="G3" s="1"/>
      <c r="H3" s="5"/>
      <c r="I3" s="8"/>
      <c r="J3" s="5" t="s">
        <v>3</v>
      </c>
      <c r="K3" s="5"/>
      <c r="L3" s="5"/>
    </row>
    <row r="4" spans="1:12" x14ac:dyDescent="0.2">
      <c r="A4" s="1" t="s">
        <v>4</v>
      </c>
      <c r="B4" s="1" t="s">
        <v>5</v>
      </c>
      <c r="C4" s="5" t="s">
        <v>6</v>
      </c>
      <c r="D4" s="1" t="s">
        <v>7</v>
      </c>
      <c r="E4" s="1"/>
      <c r="F4" s="1" t="s">
        <v>5</v>
      </c>
      <c r="G4" s="1" t="s">
        <v>6</v>
      </c>
      <c r="H4" s="5" t="s">
        <v>7</v>
      </c>
      <c r="I4" s="8"/>
      <c r="J4" s="5" t="s">
        <v>5</v>
      </c>
      <c r="K4" s="5" t="s">
        <v>6</v>
      </c>
      <c r="L4" s="5" t="s">
        <v>7</v>
      </c>
    </row>
    <row r="5" spans="1:12" x14ac:dyDescent="0.2">
      <c r="A5" t="s">
        <v>8</v>
      </c>
      <c r="B5" s="2" t="e">
        <f t="shared" ref="B5:B11" si="0">SUM(C5:D5)</f>
        <v>#REF!</v>
      </c>
      <c r="C5" s="2" t="e">
        <f>SUM([1]CCMS_CASE_TOTALS_TRUE!GF:GF)</f>
        <v>#REF!</v>
      </c>
      <c r="D5" s="2" t="e">
        <f t="shared" ref="D5:D11" si="1">H5</f>
        <v>#REF!</v>
      </c>
      <c r="E5" s="2"/>
      <c r="F5" s="2" t="e">
        <f t="shared" ref="F5:F11" si="2">SUM(G5:H5)</f>
        <v>#REF!</v>
      </c>
      <c r="G5" s="2" t="e">
        <f>SUM([1]CCMS_CASE_TOTALS_TRUE!GK:GK)</f>
        <v>#REF!</v>
      </c>
      <c r="H5" s="2" t="e">
        <f>SUM([1]CCMS_CASE_TOTALS_TRUE!GW:GW)</f>
        <v>#REF!</v>
      </c>
      <c r="I5" s="9"/>
      <c r="J5" s="2" t="e">
        <f t="shared" ref="J5:L11" si="3">B5-F5</f>
        <v>#REF!</v>
      </c>
      <c r="K5" s="2" t="e">
        <f t="shared" si="3"/>
        <v>#REF!</v>
      </c>
      <c r="L5" s="2" t="e">
        <f t="shared" si="3"/>
        <v>#REF!</v>
      </c>
    </row>
    <row r="6" spans="1:12" x14ac:dyDescent="0.2">
      <c r="A6" t="s">
        <v>9</v>
      </c>
      <c r="B6" s="2" t="e">
        <f t="shared" si="0"/>
        <v>#REF!</v>
      </c>
      <c r="C6" s="2" t="e">
        <f>SUM([1]CCMS_CASE_TOTALS_TRUE!GG:GG)</f>
        <v>#REF!</v>
      </c>
      <c r="D6" s="2" t="e">
        <f t="shared" si="1"/>
        <v>#REF!</v>
      </c>
      <c r="E6" s="2"/>
      <c r="F6" s="2" t="e">
        <f t="shared" si="2"/>
        <v>#REF!</v>
      </c>
      <c r="G6" s="2" t="e">
        <f>SUM([1]CCMS_CASE_TOTALS_TRUE!GL:GL)</f>
        <v>#REF!</v>
      </c>
      <c r="H6" s="2" t="e">
        <f>SUM([1]CCMS_CASE_TOTALS_TRUE!GX:GX)</f>
        <v>#REF!</v>
      </c>
      <c r="I6" s="9"/>
      <c r="J6" s="2" t="e">
        <f t="shared" si="3"/>
        <v>#REF!</v>
      </c>
      <c r="K6" s="2" t="e">
        <f t="shared" si="3"/>
        <v>#REF!</v>
      </c>
      <c r="L6" s="2" t="e">
        <f t="shared" si="3"/>
        <v>#REF!</v>
      </c>
    </row>
    <row r="7" spans="1:12" x14ac:dyDescent="0.2">
      <c r="A7" t="s">
        <v>10</v>
      </c>
      <c r="B7" s="2" t="e">
        <f t="shared" si="0"/>
        <v>#REF!</v>
      </c>
      <c r="C7" s="2" t="e">
        <f>SUM([1]CCMS_CASE_TOTALS_TRUE!GH:GH)</f>
        <v>#REF!</v>
      </c>
      <c r="D7" s="2" t="e">
        <f t="shared" si="1"/>
        <v>#REF!</v>
      </c>
      <c r="E7" s="2"/>
      <c r="F7" s="2" t="e">
        <f t="shared" si="2"/>
        <v>#REF!</v>
      </c>
      <c r="G7" s="2" t="e">
        <f>SUM([1]CCMS_CASE_TOTALS_TRUE!GM:GM)</f>
        <v>#REF!</v>
      </c>
      <c r="H7" s="2" t="e">
        <f>SUM([1]CCMS_CASE_TOTALS_TRUE!GY:GY)</f>
        <v>#REF!</v>
      </c>
      <c r="I7" s="9"/>
      <c r="J7" s="2" t="e">
        <f t="shared" si="3"/>
        <v>#REF!</v>
      </c>
      <c r="K7" s="2" t="e">
        <f t="shared" si="3"/>
        <v>#REF!</v>
      </c>
      <c r="L7" s="2" t="e">
        <f t="shared" si="3"/>
        <v>#REF!</v>
      </c>
    </row>
    <row r="8" spans="1:12" x14ac:dyDescent="0.2">
      <c r="A8" t="s">
        <v>11</v>
      </c>
      <c r="B8" s="2" t="e">
        <f t="shared" si="0"/>
        <v>#REF!</v>
      </c>
      <c r="C8" s="2" t="e">
        <f>SUM([1]CCMS_CASE_TOTALS_TRUE!GI:GI)</f>
        <v>#REF!</v>
      </c>
      <c r="D8" s="2" t="e">
        <f t="shared" si="1"/>
        <v>#REF!</v>
      </c>
      <c r="E8" s="2"/>
      <c r="F8" s="2" t="e">
        <f t="shared" si="2"/>
        <v>#REF!</v>
      </c>
      <c r="G8" s="2" t="e">
        <f>SUM([1]CCMS_CASE_TOTALS_TRUE!GN:GN)</f>
        <v>#REF!</v>
      </c>
      <c r="H8" s="2" t="e">
        <f>SUM([1]CCMS_CASE_TOTALS_TRUE!GZ:GZ)</f>
        <v>#REF!</v>
      </c>
      <c r="I8" s="9"/>
      <c r="J8" s="2" t="e">
        <f t="shared" si="3"/>
        <v>#REF!</v>
      </c>
      <c r="K8" s="2" t="e">
        <f t="shared" si="3"/>
        <v>#REF!</v>
      </c>
      <c r="L8" s="2" t="e">
        <f t="shared" si="3"/>
        <v>#REF!</v>
      </c>
    </row>
    <row r="9" spans="1:12" x14ac:dyDescent="0.2">
      <c r="A9" t="s">
        <v>12</v>
      </c>
      <c r="B9" s="2" t="e">
        <f t="shared" si="0"/>
        <v>#VALUE!</v>
      </c>
      <c r="C9" s="2" t="e">
        <f>SUMIF([1]CCMS_CASE_TOTALS_TRUE!HA:HA,"&lt;&gt;0",[1]CCMS_CASE_TOTALS_TRUE!GJ:GJ)</f>
        <v>#VALUE!</v>
      </c>
      <c r="D9" s="2" t="e">
        <f t="shared" si="1"/>
        <v>#REF!</v>
      </c>
      <c r="E9" s="2"/>
      <c r="F9" s="2" t="e">
        <f t="shared" si="2"/>
        <v>#VALUE!</v>
      </c>
      <c r="G9" s="2" t="e">
        <f>SUMIF([1]CCMS_CASE_TOTALS_TRUE!HA:HA,"&lt;&gt;0",[1]CCMS_CASE_TOTALS_TRUE!GO:GO)</f>
        <v>#VALUE!</v>
      </c>
      <c r="H9" s="2" t="e">
        <f>SUM([1]CCMS_CASE_TOTALS_TRUE!HA:HA)</f>
        <v>#REF!</v>
      </c>
      <c r="I9" s="9"/>
      <c r="J9" s="2" t="e">
        <f t="shared" si="3"/>
        <v>#VALUE!</v>
      </c>
      <c r="K9" s="2" t="e">
        <f t="shared" si="3"/>
        <v>#VALUE!</v>
      </c>
      <c r="L9" s="2" t="e">
        <f t="shared" si="3"/>
        <v>#REF!</v>
      </c>
    </row>
    <row r="10" spans="1:12" x14ac:dyDescent="0.2">
      <c r="A10" t="s">
        <v>13</v>
      </c>
      <c r="B10" s="2" t="e">
        <f t="shared" si="0"/>
        <v>#VALUE!</v>
      </c>
      <c r="C10" s="2" t="e">
        <f>SUMIFS([1]CCMS_CASE_TOTALS_TRUE!GJ:GJ,[1]CCMS_CASE_TOTALS_TRUE!HA:HA,"=0",[1]CCMS_CASE_TOTALS_TRUE!Q:Q,"Y")</f>
        <v>#VALUE!</v>
      </c>
      <c r="D10" s="2">
        <f t="shared" si="1"/>
        <v>0</v>
      </c>
      <c r="E10" s="2"/>
      <c r="F10" s="2" t="e">
        <f t="shared" si="2"/>
        <v>#VALUE!</v>
      </c>
      <c r="G10" s="2" t="e">
        <f>SUMIFS([1]CCMS_CASE_TOTALS_TRUE!GO:GO,[1]CCMS_CASE_TOTALS_TRUE!HA:HA,"=0",[1]CCMS_CASE_TOTALS_TRUE!Q:Q,"Y")</f>
        <v>#VALUE!</v>
      </c>
      <c r="H10" s="2">
        <v>0</v>
      </c>
      <c r="I10" s="9"/>
      <c r="J10" s="2" t="e">
        <f t="shared" si="3"/>
        <v>#VALUE!</v>
      </c>
      <c r="K10" s="2" t="e">
        <f t="shared" si="3"/>
        <v>#VALUE!</v>
      </c>
      <c r="L10" s="2">
        <f t="shared" si="3"/>
        <v>0</v>
      </c>
    </row>
    <row r="11" spans="1:12" x14ac:dyDescent="0.2">
      <c r="A11" t="s">
        <v>14</v>
      </c>
      <c r="B11" s="2" t="e">
        <f t="shared" si="0"/>
        <v>#VALUE!</v>
      </c>
      <c r="C11" s="2" t="e">
        <f>SUMIFS([1]CCMS_CASE_TOTALS_TRUE!GJ:GJ,[1]CCMS_CASE_TOTALS_TRUE!HA:HA,"=0",[1]CCMS_CASE_TOTALS_TRUE!Q:Q,"N")</f>
        <v>#VALUE!</v>
      </c>
      <c r="D11" s="2">
        <f t="shared" si="1"/>
        <v>0</v>
      </c>
      <c r="E11" s="2"/>
      <c r="F11" s="2" t="e">
        <f t="shared" si="2"/>
        <v>#VALUE!</v>
      </c>
      <c r="G11" s="2" t="e">
        <f>SUMIFS([1]CCMS_CASE_TOTALS_TRUE!GO:GO,[1]CCMS_CASE_TOTALS_TRUE!HA:HA,"=0",[1]CCMS_CASE_TOTALS_TRUE!Q:Q,"N")</f>
        <v>#VALUE!</v>
      </c>
      <c r="H11" s="2">
        <v>0</v>
      </c>
      <c r="I11" s="9"/>
      <c r="J11" s="2" t="e">
        <f t="shared" si="3"/>
        <v>#VALUE!</v>
      </c>
      <c r="K11" s="2" t="e">
        <f t="shared" si="3"/>
        <v>#VALUE!</v>
      </c>
      <c r="L11" s="2">
        <f t="shared" si="3"/>
        <v>0</v>
      </c>
    </row>
    <row r="12" spans="1:12" x14ac:dyDescent="0.2">
      <c r="B12" s="2"/>
      <c r="D12" s="2"/>
      <c r="E12" s="2"/>
      <c r="F12" s="2"/>
      <c r="G12" s="2"/>
      <c r="I12" s="9"/>
    </row>
    <row r="13" spans="1:12" ht="15.75" customHeight="1" thickBot="1" x14ac:dyDescent="0.25">
      <c r="B13" s="2"/>
      <c r="D13" s="2"/>
      <c r="E13" s="2"/>
      <c r="F13" s="2"/>
      <c r="G13" s="2"/>
      <c r="I13" s="9"/>
    </row>
    <row r="14" spans="1:12" ht="15.75" customHeight="1" thickBot="1" x14ac:dyDescent="0.25">
      <c r="A14" s="6" t="s">
        <v>5</v>
      </c>
      <c r="B14" s="7" t="e">
        <f>SUM(B5:B13)</f>
        <v>#REF!</v>
      </c>
      <c r="C14" s="7" t="e">
        <f>SUM(C5:C13)</f>
        <v>#REF!</v>
      </c>
      <c r="D14" s="7" t="e">
        <f>SUM(D5:D13)</f>
        <v>#REF!</v>
      </c>
      <c r="E14" s="7"/>
      <c r="F14" s="7" t="e">
        <f>SUM(F5:F13)</f>
        <v>#REF!</v>
      </c>
      <c r="G14" s="7" t="e">
        <f>SUM(G5:G13)</f>
        <v>#REF!</v>
      </c>
      <c r="H14" s="7" t="e">
        <f>SUM(H5:H13)</f>
        <v>#REF!</v>
      </c>
      <c r="I14" s="10"/>
      <c r="J14" s="7" t="e">
        <f>SUM(J5:J13)</f>
        <v>#REF!</v>
      </c>
      <c r="K14" s="7" t="e">
        <f>SUM(K5:K13)</f>
        <v>#REF!</v>
      </c>
      <c r="L14" s="7" t="e">
        <f>SUM(L5:L13)</f>
        <v>#REF!</v>
      </c>
    </row>
    <row r="15" spans="1:12" ht="15.75" customHeight="1" thickTop="1" x14ac:dyDescent="0.2">
      <c r="I15" s="9"/>
    </row>
    <row r="16" spans="1:12" x14ac:dyDescent="0.2">
      <c r="F16" t="s">
        <v>15</v>
      </c>
      <c r="G16" s="2" t="e">
        <f>#REF!-G14</f>
        <v>#REF!</v>
      </c>
      <c r="H16" s="2" t="e">
        <f>#REF!-H14</f>
        <v>#REF!</v>
      </c>
      <c r="I16" s="9"/>
      <c r="K16" s="2" t="e">
        <f>#REF!-K14</f>
        <v>#REF!</v>
      </c>
      <c r="L16" s="2" t="e">
        <f>0-L14</f>
        <v>#REF!</v>
      </c>
    </row>
    <row r="17" spans="1:7" x14ac:dyDescent="0.2">
      <c r="F17" t="s">
        <v>16</v>
      </c>
      <c r="G17" s="2" t="e">
        <f>'Civil Movement Report'!I14+'Civil Movement Report'!I28-'All Debts by Type Summary'!Q17</f>
        <v>#REF!</v>
      </c>
    </row>
    <row r="18" spans="1:7" x14ac:dyDescent="0.2">
      <c r="F18" t="s">
        <v>17</v>
      </c>
      <c r="G18" s="2" t="e">
        <f>'Civil Movement Report'!I42+'Civil Movement Report'!I54-'All Debts by Type Summary'!Q19</f>
        <v>#REF!</v>
      </c>
    </row>
    <row r="19" spans="1:7" x14ac:dyDescent="0.2">
      <c r="A19" s="1" t="s">
        <v>4</v>
      </c>
      <c r="B19" s="4" t="s">
        <v>18</v>
      </c>
      <c r="G19" s="2"/>
    </row>
    <row r="20" spans="1:7" x14ac:dyDescent="0.2">
      <c r="A20" t="s">
        <v>8</v>
      </c>
      <c r="B20" s="14" t="e">
        <f>COUNTIF([1]CCMS_CASE_TOTALS_TRUE!GK:GK,"&gt;0")</f>
        <v>#VALUE!</v>
      </c>
      <c r="G20" s="2"/>
    </row>
    <row r="21" spans="1:7" x14ac:dyDescent="0.2">
      <c r="A21" t="s">
        <v>9</v>
      </c>
      <c r="B21" s="14" t="e">
        <f>COUNTIF([1]CCMS_CASE_TOTALS_TRUE!GL:GL,"&gt;0")</f>
        <v>#VALUE!</v>
      </c>
      <c r="G21" s="2"/>
    </row>
    <row r="22" spans="1:7" x14ac:dyDescent="0.2">
      <c r="A22" t="s">
        <v>10</v>
      </c>
      <c r="B22" s="14" t="e">
        <f>COUNTIF([1]CCMS_CASE_TOTALS_TRUE!GM:GM,"&gt;0")</f>
        <v>#VALUE!</v>
      </c>
      <c r="G22" s="2"/>
    </row>
    <row r="23" spans="1:7" x14ac:dyDescent="0.2">
      <c r="A23" t="s">
        <v>11</v>
      </c>
      <c r="B23" s="14" t="e">
        <f>COUNTIF([1]CCMS_CASE_TOTALS_TRUE!GN:GN,"&gt;0")</f>
        <v>#VALUE!</v>
      </c>
      <c r="G23" s="2"/>
    </row>
    <row r="24" spans="1:7" x14ac:dyDescent="0.2">
      <c r="A24" t="s">
        <v>12</v>
      </c>
      <c r="B24" s="14" t="e">
        <f>COUNTIFS([1]CCMS_CASE_TOTALS_TRUE!HA:HA,"&lt;&gt;0",[1]CCMS_CASE_TOTALS_TRUE!GO:GO,"&gt;0")</f>
        <v>#VALUE!</v>
      </c>
    </row>
    <row r="25" spans="1:7" x14ac:dyDescent="0.2">
      <c r="A25" t="s">
        <v>13</v>
      </c>
      <c r="B25" s="14" t="e">
        <f>COUNTIFS([1]CCMS_CASE_TOTALS_TRUE!GO:GO,"&gt;0",[1]CCMS_CASE_TOTALS_TRUE!HA:HA,"=0",[1]CCMS_CASE_TOTALS_TRUE!Q:Q,"Y")</f>
        <v>#VALUE!</v>
      </c>
    </row>
    <row r="26" spans="1:7" x14ac:dyDescent="0.2">
      <c r="A26" t="s">
        <v>14</v>
      </c>
      <c r="B26" s="14" t="e">
        <f>COUNTIFS([1]CCMS_CASE_TOTALS_TRUE!GO:GO,"&gt;0",[1]CCMS_CASE_TOTALS_TRUE!HA:HA,"=0",[1]CCMS_CASE_TOTALS_TRUE!Q:Q,"N")</f>
        <v>#VALUE!</v>
      </c>
    </row>
    <row r="27" spans="1:7" x14ac:dyDescent="0.2">
      <c r="B27" s="14" t="e">
        <f>SUM(B24:B26)</f>
        <v>#VALUE!</v>
      </c>
    </row>
    <row r="28" spans="1:7" x14ac:dyDescent="0.2">
      <c r="B28" s="3"/>
    </row>
    <row r="30" spans="1:7" x14ac:dyDescent="0.2">
      <c r="A30" s="12" t="s">
        <v>19</v>
      </c>
      <c r="B30" s="12" t="e">
        <f>MAX([1]CCMS_CASE_TOTALS_TRUE!DJ:DJ)</f>
        <v>#REF!</v>
      </c>
      <c r="C30" s="1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L16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32.1640625" bestFit="1" customWidth="1"/>
    <col min="2" max="2" width="16.6640625" style="11" bestFit="1" customWidth="1"/>
    <col min="3" max="3" width="14.33203125" style="11" bestFit="1" customWidth="1"/>
    <col min="4" max="4" width="20.83203125" style="11" bestFit="1" customWidth="1"/>
    <col min="5" max="5" width="9.1640625" style="11" customWidth="1"/>
    <col min="6" max="7" width="14.33203125" style="11" bestFit="1" customWidth="1"/>
    <col min="8" max="8" width="20.83203125" style="11" bestFit="1" customWidth="1"/>
    <col min="9" max="9" width="9.1640625" style="11" customWidth="1"/>
    <col min="10" max="10" width="15.5" style="11" bestFit="1" customWidth="1"/>
    <col min="11" max="11" width="14.33203125" style="11" bestFit="1" customWidth="1"/>
    <col min="12" max="12" width="20.83203125" style="11" bestFit="1" customWidth="1"/>
  </cols>
  <sheetData>
    <row r="1" spans="1:12" x14ac:dyDescent="0.2">
      <c r="A1" t="s">
        <v>0</v>
      </c>
    </row>
    <row r="2" spans="1:12" ht="15.75" customHeight="1" thickBot="1" x14ac:dyDescent="0.25"/>
    <row r="3" spans="1:12" ht="15.75" customHeight="1" thickBot="1" x14ac:dyDescent="0.25">
      <c r="B3" s="11" t="s">
        <v>1</v>
      </c>
      <c r="F3" s="11" t="s">
        <v>2</v>
      </c>
      <c r="J3" s="11" t="s">
        <v>3</v>
      </c>
    </row>
    <row r="4" spans="1:12" x14ac:dyDescent="0.2">
      <c r="A4" t="s">
        <v>4</v>
      </c>
      <c r="B4" s="11" t="s">
        <v>5</v>
      </c>
      <c r="C4" s="11" t="s">
        <v>6</v>
      </c>
      <c r="D4" s="11" t="s">
        <v>7</v>
      </c>
      <c r="F4" s="11" t="s">
        <v>5</v>
      </c>
      <c r="G4" s="11" t="s">
        <v>6</v>
      </c>
      <c r="H4" s="11" t="s">
        <v>7</v>
      </c>
      <c r="J4" s="11" t="s">
        <v>5</v>
      </c>
      <c r="K4" s="11" t="s">
        <v>6</v>
      </c>
      <c r="L4" s="11" t="s">
        <v>7</v>
      </c>
    </row>
    <row r="5" spans="1:12" x14ac:dyDescent="0.2">
      <c r="A5" t="s">
        <v>8</v>
      </c>
      <c r="B5" s="11" t="e">
        <f t="shared" ref="B5:B11" si="0">SUM(C5:D5)</f>
        <v>#VALUE!</v>
      </c>
      <c r="C5" s="11" t="e">
        <f>SUMIF([1]CCMS_CASE_TOTALS_TRUE!HV:HV,1,[1]CCMS_CASE_TOTALS_TRUE!GF:GF)</f>
        <v>#VALUE!</v>
      </c>
      <c r="D5" s="11" t="e">
        <f t="shared" ref="D5:D11" si="1">H5</f>
        <v>#VALUE!</v>
      </c>
      <c r="F5" s="11" t="e">
        <f t="shared" ref="F5:F11" si="2">SUM(G5:H5)</f>
        <v>#VALUE!</v>
      </c>
      <c r="G5" s="11" t="e">
        <f>SUMIF([1]CCMS_CASE_TOTALS_TRUE!HV:HV,1,[1]CCMS_CASE_TOTALS_TRUE!GK:GK)</f>
        <v>#VALUE!</v>
      </c>
      <c r="H5" s="11" t="e">
        <f>SUMIF([1]CCMS_CASE_TOTALS_TRUE!HV:HV,1,[1]CCMS_CASE_TOTALS_TRUE!GW:GW)</f>
        <v>#VALUE!</v>
      </c>
      <c r="J5" s="11" t="e">
        <f t="shared" ref="J5:L11" si="3">B5-F5</f>
        <v>#VALUE!</v>
      </c>
      <c r="K5" s="11" t="e">
        <f t="shared" si="3"/>
        <v>#VALUE!</v>
      </c>
      <c r="L5" s="11" t="e">
        <f t="shared" si="3"/>
        <v>#VALUE!</v>
      </c>
    </row>
    <row r="6" spans="1:12" x14ac:dyDescent="0.2">
      <c r="A6" t="s">
        <v>9</v>
      </c>
      <c r="B6" s="11" t="e">
        <f t="shared" si="0"/>
        <v>#VALUE!</v>
      </c>
      <c r="C6" s="11" t="e">
        <f>SUMIF([1]CCMS_CASE_TOTALS_TRUE!HV:HV,1,[1]CCMS_CASE_TOTALS_TRUE!GG:GG)</f>
        <v>#VALUE!</v>
      </c>
      <c r="D6" s="11" t="e">
        <f t="shared" si="1"/>
        <v>#VALUE!</v>
      </c>
      <c r="F6" s="11" t="e">
        <f t="shared" si="2"/>
        <v>#VALUE!</v>
      </c>
      <c r="G6" s="11" t="e">
        <f>SUMIF([1]CCMS_CASE_TOTALS_TRUE!HV:HV,1,[1]CCMS_CASE_TOTALS_TRUE!GL:GL)</f>
        <v>#VALUE!</v>
      </c>
      <c r="H6" s="11" t="e">
        <f>SUMIF([1]CCMS_CASE_TOTALS_TRUE!HV:HV,1,[1]CCMS_CASE_TOTALS_TRUE!GX:GX)</f>
        <v>#VALUE!</v>
      </c>
      <c r="J6" s="11" t="e">
        <f t="shared" si="3"/>
        <v>#VALUE!</v>
      </c>
      <c r="K6" s="11" t="e">
        <f t="shared" si="3"/>
        <v>#VALUE!</v>
      </c>
      <c r="L6" s="11" t="e">
        <f t="shared" si="3"/>
        <v>#VALUE!</v>
      </c>
    </row>
    <row r="7" spans="1:12" x14ac:dyDescent="0.2">
      <c r="A7" t="s">
        <v>10</v>
      </c>
      <c r="B7" s="11" t="e">
        <f t="shared" si="0"/>
        <v>#VALUE!</v>
      </c>
      <c r="C7" s="11" t="e">
        <f>SUMIF([1]CCMS_CASE_TOTALS_TRUE!HV:HV,1,[1]CCMS_CASE_TOTALS_TRUE!GH:GH)</f>
        <v>#VALUE!</v>
      </c>
      <c r="D7" s="11" t="e">
        <f t="shared" si="1"/>
        <v>#VALUE!</v>
      </c>
      <c r="F7" s="11" t="e">
        <f t="shared" si="2"/>
        <v>#VALUE!</v>
      </c>
      <c r="G7" s="11" t="e">
        <f>SUMIF([1]CCMS_CASE_TOTALS_TRUE!HV:HV,1,[1]CCMS_CASE_TOTALS_TRUE!GM:GM)</f>
        <v>#VALUE!</v>
      </c>
      <c r="H7" s="11" t="e">
        <f>SUMIF([1]CCMS_CASE_TOTALS_TRUE!HV:HV,1,[1]CCMS_CASE_TOTALS_TRUE!GY:GY)</f>
        <v>#VALUE!</v>
      </c>
      <c r="J7" s="11" t="e">
        <f t="shared" si="3"/>
        <v>#VALUE!</v>
      </c>
      <c r="K7" s="11" t="e">
        <f t="shared" si="3"/>
        <v>#VALUE!</v>
      </c>
      <c r="L7" s="11" t="e">
        <f t="shared" si="3"/>
        <v>#VALUE!</v>
      </c>
    </row>
    <row r="8" spans="1:12" x14ac:dyDescent="0.2">
      <c r="A8" t="s">
        <v>11</v>
      </c>
      <c r="B8" s="11" t="e">
        <f t="shared" si="0"/>
        <v>#VALUE!</v>
      </c>
      <c r="C8" s="11" t="e">
        <f>SUMIF([1]CCMS_CASE_TOTALS_TRUE!HV:HV,1,[1]CCMS_CASE_TOTALS_TRUE!GI:GI)</f>
        <v>#VALUE!</v>
      </c>
      <c r="D8" s="11" t="e">
        <f t="shared" si="1"/>
        <v>#VALUE!</v>
      </c>
      <c r="F8" s="11" t="e">
        <f t="shared" si="2"/>
        <v>#VALUE!</v>
      </c>
      <c r="G8" s="11" t="e">
        <f>SUMIF([1]CCMS_CASE_TOTALS_TRUE!HV:HV,1,[1]CCMS_CASE_TOTALS_TRUE!GN:GN)</f>
        <v>#VALUE!</v>
      </c>
      <c r="H8" s="11" t="e">
        <f>SUMIF([1]CCMS_CASE_TOTALS_TRUE!HV:HV,1,[1]CCMS_CASE_TOTALS_TRUE!GZ:GZ)</f>
        <v>#VALUE!</v>
      </c>
      <c r="J8" s="11" t="e">
        <f t="shared" si="3"/>
        <v>#VALUE!</v>
      </c>
      <c r="K8" s="11" t="e">
        <f t="shared" si="3"/>
        <v>#VALUE!</v>
      </c>
      <c r="L8" s="11" t="e">
        <f t="shared" si="3"/>
        <v>#VALUE!</v>
      </c>
    </row>
    <row r="9" spans="1:12" x14ac:dyDescent="0.2">
      <c r="A9" t="s">
        <v>12</v>
      </c>
      <c r="B9" s="11" t="e">
        <f t="shared" si="0"/>
        <v>#VALUE!</v>
      </c>
      <c r="C9" s="11" t="e">
        <f>SUMIFS([1]CCMS_CASE_TOTALS_TRUE!GJ:GJ,[1]CCMS_CASE_TOTALS_TRUE!HA:HA,"&lt;&gt;0",[1]CCMS_CASE_TOTALS_TRUE!HV:HV,1)</f>
        <v>#VALUE!</v>
      </c>
      <c r="D9" s="11" t="e">
        <f t="shared" si="1"/>
        <v>#VALUE!</v>
      </c>
      <c r="F9" s="11" t="e">
        <f t="shared" si="2"/>
        <v>#VALUE!</v>
      </c>
      <c r="G9" s="11" t="e">
        <f>SUMIFS([1]CCMS_CASE_TOTALS_TRUE!GO:GO,[1]CCMS_CASE_TOTALS_TRUE!HA:HA,"&lt;&gt;0",[1]CCMS_CASE_TOTALS_TRUE!HV:HV,1)</f>
        <v>#VALUE!</v>
      </c>
      <c r="H9" s="11" t="e">
        <f>SUMIF([1]CCMS_CASE_TOTALS_TRUE!HV:HV,1,[1]CCMS_CASE_TOTALS_TRUE!HA:HA)</f>
        <v>#VALUE!</v>
      </c>
      <c r="J9" s="11" t="e">
        <f t="shared" si="3"/>
        <v>#VALUE!</v>
      </c>
      <c r="K9" s="11" t="e">
        <f t="shared" si="3"/>
        <v>#VALUE!</v>
      </c>
      <c r="L9" s="11" t="e">
        <f t="shared" si="3"/>
        <v>#VALUE!</v>
      </c>
    </row>
    <row r="10" spans="1:12" x14ac:dyDescent="0.2">
      <c r="A10" t="s">
        <v>13</v>
      </c>
      <c r="B10" s="11" t="e">
        <f t="shared" si="0"/>
        <v>#VALUE!</v>
      </c>
      <c r="C10" s="11" t="e">
        <f>SUMIFS([1]CCMS_CASE_TOTALS_TRUE!GJ:GJ,[1]CCMS_CASE_TOTALS_TRUE!HA:HA,"=0",[1]CCMS_CASE_TOTALS_TRUE!Q:Q,"Y",[1]CCMS_CASE_TOTALS_TRUE!HV:HV,1)</f>
        <v>#VALUE!</v>
      </c>
      <c r="D10" s="11">
        <f t="shared" si="1"/>
        <v>0</v>
      </c>
      <c r="F10" s="11" t="e">
        <f t="shared" si="2"/>
        <v>#VALUE!</v>
      </c>
      <c r="G10" s="11" t="e">
        <f>SUMIFS([1]CCMS_CASE_TOTALS_TRUE!GO:GO,[1]CCMS_CASE_TOTALS_TRUE!HA:HA,"=0",[1]CCMS_CASE_TOTALS_TRUE!Q:Q,"Y",[1]CCMS_CASE_TOTALS_TRUE!HV:HV,1)</f>
        <v>#VALUE!</v>
      </c>
      <c r="H10" s="11">
        <v>0</v>
      </c>
      <c r="J10" s="11" t="e">
        <f t="shared" si="3"/>
        <v>#VALUE!</v>
      </c>
      <c r="K10" s="11" t="e">
        <f t="shared" si="3"/>
        <v>#VALUE!</v>
      </c>
      <c r="L10" s="11">
        <f t="shared" si="3"/>
        <v>0</v>
      </c>
    </row>
    <row r="11" spans="1:12" x14ac:dyDescent="0.2">
      <c r="A11" t="s">
        <v>14</v>
      </c>
      <c r="B11" s="11" t="e">
        <f t="shared" si="0"/>
        <v>#VALUE!</v>
      </c>
      <c r="C11" s="11" t="e">
        <f>SUMIFS([1]CCMS_CASE_TOTALS_TRUE!GJ:GJ,[1]CCMS_CASE_TOTALS_TRUE!HA:HA,"=0",[1]CCMS_CASE_TOTALS_TRUE!Q:Q,"N",[1]CCMS_CASE_TOTALS_TRUE!HV:HV,1)</f>
        <v>#VALUE!</v>
      </c>
      <c r="D11" s="11">
        <f t="shared" si="1"/>
        <v>0</v>
      </c>
      <c r="F11" s="11" t="e">
        <f t="shared" si="2"/>
        <v>#VALUE!</v>
      </c>
      <c r="G11" s="11" t="e">
        <f>SUMIFS([1]CCMS_CASE_TOTALS_TRUE!GO:GO,[1]CCMS_CASE_TOTALS_TRUE!HA:HA,"=0",[1]CCMS_CASE_TOTALS_TRUE!Q:Q,"N",[1]CCMS_CASE_TOTALS_TRUE!HV:HV,1)</f>
        <v>#VALUE!</v>
      </c>
      <c r="H11" s="11">
        <v>0</v>
      </c>
      <c r="J11" s="11" t="e">
        <f t="shared" si="3"/>
        <v>#VALUE!</v>
      </c>
      <c r="K11" s="11" t="e">
        <f t="shared" si="3"/>
        <v>#VALUE!</v>
      </c>
      <c r="L11" s="11">
        <f t="shared" si="3"/>
        <v>0</v>
      </c>
    </row>
    <row r="13" spans="1:12" ht="15.75" customHeight="1" thickBot="1" x14ac:dyDescent="0.25"/>
    <row r="14" spans="1:12" ht="15.75" customHeight="1" thickBot="1" x14ac:dyDescent="0.25">
      <c r="A14" t="s">
        <v>5</v>
      </c>
      <c r="B14" s="11" t="e">
        <f>SUM(B5:B13)</f>
        <v>#VALUE!</v>
      </c>
      <c r="C14" s="11" t="e">
        <f>SUM(C5:C13)</f>
        <v>#VALUE!</v>
      </c>
      <c r="D14" s="11" t="e">
        <f>SUM(D5:D13)</f>
        <v>#VALUE!</v>
      </c>
      <c r="F14" s="11" t="e">
        <f>SUM(F5:F13)</f>
        <v>#VALUE!</v>
      </c>
      <c r="G14" s="11" t="e">
        <f>SUM(G5:G13)</f>
        <v>#VALUE!</v>
      </c>
      <c r="H14" s="11" t="e">
        <f>SUM(H5:H13)</f>
        <v>#VALUE!</v>
      </c>
      <c r="J14" s="11" t="e">
        <f>SUM(J5:J13)</f>
        <v>#VALUE!</v>
      </c>
      <c r="K14" s="11" t="e">
        <f>SUM(K5:K13)</f>
        <v>#VALUE!</v>
      </c>
      <c r="L14" s="11" t="e">
        <f>SUM(L5:L13)</f>
        <v>#VALUE!</v>
      </c>
    </row>
    <row r="15" spans="1:12" ht="15.75" customHeight="1" thickTop="1" x14ac:dyDescent="0.2"/>
    <row r="16" spans="1:12" x14ac:dyDescent="0.2">
      <c r="L16" s="11" t="e">
        <f>0-L14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B1:I17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5.1640625" customWidth="1"/>
    <col min="2" max="2" width="27" bestFit="1" customWidth="1"/>
    <col min="3" max="3" width="16.83203125" style="11" bestFit="1" customWidth="1"/>
    <col min="4" max="4" width="15.83203125" style="11" bestFit="1" customWidth="1"/>
    <col min="5" max="5" width="12.6640625" style="11" bestFit="1" customWidth="1"/>
    <col min="6" max="6" width="15.83203125" style="11" bestFit="1" customWidth="1"/>
    <col min="7" max="7" width="13.83203125" style="11" customWidth="1"/>
    <col min="8" max="8" width="6.1640625" style="11" customWidth="1"/>
    <col min="9" max="9" width="16.83203125" style="11" bestFit="1" customWidth="1"/>
    <col min="10" max="10" width="14.83203125" bestFit="1" customWidth="1"/>
    <col min="11" max="11" width="11.5" bestFit="1" customWidth="1"/>
    <col min="13" max="13" width="11.5" bestFit="1" customWidth="1"/>
  </cols>
  <sheetData>
    <row r="1" spans="2:9" x14ac:dyDescent="0.2">
      <c r="B1" t="s">
        <v>20</v>
      </c>
    </row>
    <row r="2" spans="2:9" x14ac:dyDescent="0.2">
      <c r="B2" t="s">
        <v>21</v>
      </c>
    </row>
    <row r="4" spans="2:9" x14ac:dyDescent="0.2"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I4" s="11" t="s">
        <v>5</v>
      </c>
    </row>
    <row r="5" spans="2:9" x14ac:dyDescent="0.2">
      <c r="B5" t="s">
        <v>27</v>
      </c>
      <c r="C5" s="11" t="e">
        <f>'All Debts by Type Summary'!C17</f>
        <v>#VALUE!</v>
      </c>
      <c r="D5" s="11" t="e">
        <f>'All Debts by Type Summary'!D17</f>
        <v>#VALUE!</v>
      </c>
      <c r="E5" s="11" t="e">
        <f>'All Debts by Type Summary'!E17</f>
        <v>#VALUE!</v>
      </c>
      <c r="F5" s="11" t="e">
        <f>'All Debts by Type Summary'!F17</f>
        <v>#VALUE!</v>
      </c>
      <c r="G5" s="11" t="e">
        <f>'All Debts by Type Summary'!G17</f>
        <v>#VALUE!</v>
      </c>
      <c r="I5" s="11" t="e">
        <f>SUM(C5:H5)</f>
        <v>#VALUE!</v>
      </c>
    </row>
    <row r="6" spans="2:9" x14ac:dyDescent="0.2">
      <c r="B6" t="s">
        <v>28</v>
      </c>
      <c r="C6" s="11" t="e">
        <f>'All Debts by Type Summary'!C19</f>
        <v>#VALUE!</v>
      </c>
      <c r="D6" s="11" t="e">
        <f>'All Debts by Type Summary'!D19</f>
        <v>#VALUE!</v>
      </c>
      <c r="E6" s="11" t="e">
        <f>'All Debts by Type Summary'!E19</f>
        <v>#VALUE!</v>
      </c>
      <c r="F6" s="11" t="e">
        <f>'All Debts by Type Summary'!F19</f>
        <v>#VALUE!</v>
      </c>
      <c r="G6" s="11" t="e">
        <f>'All Debts by Type Summary'!G19</f>
        <v>#VALUE!</v>
      </c>
      <c r="I6" s="11" t="e">
        <f>SUM(C6:H6)</f>
        <v>#VALUE!</v>
      </c>
    </row>
    <row r="7" spans="2:9" x14ac:dyDescent="0.2">
      <c r="B7" t="s">
        <v>5</v>
      </c>
      <c r="C7" s="11" t="e">
        <f>SUM(C5:C6)</f>
        <v>#VALUE!</v>
      </c>
      <c r="D7" s="11" t="e">
        <f>SUM(D5:D6)</f>
        <v>#VALUE!</v>
      </c>
      <c r="E7" s="11" t="e">
        <f>SUM(E5:E6)</f>
        <v>#VALUE!</v>
      </c>
      <c r="F7" s="11" t="e">
        <f>SUM(F5:F6)</f>
        <v>#VALUE!</v>
      </c>
      <c r="G7" s="11" t="e">
        <f>SUM(G5:G6)</f>
        <v>#VALUE!</v>
      </c>
      <c r="I7" s="11" t="e">
        <f>SUM(I5:I6)</f>
        <v>#VALUE!</v>
      </c>
    </row>
    <row r="9" spans="2:9" x14ac:dyDescent="0.2">
      <c r="B9" t="s">
        <v>29</v>
      </c>
    </row>
    <row r="11" spans="2:9" x14ac:dyDescent="0.2">
      <c r="C11" s="11" t="s">
        <v>27</v>
      </c>
      <c r="D11" s="11" t="s">
        <v>28</v>
      </c>
    </row>
    <row r="12" spans="2:9" x14ac:dyDescent="0.2">
      <c r="B12" t="s">
        <v>30</v>
      </c>
      <c r="C12" s="11" t="e">
        <f>SUM(#REF!)</f>
        <v>#REF!</v>
      </c>
      <c r="D12" s="11" t="e">
        <f>SUM(#REF!)</f>
        <v>#REF!</v>
      </c>
    </row>
    <row r="13" spans="2:9" x14ac:dyDescent="0.2">
      <c r="B13" t="s">
        <v>31</v>
      </c>
      <c r="C13" s="11" t="e">
        <f>SUM('Civil Debt Exceptions'!C21:G21)</f>
        <v>#REF!</v>
      </c>
      <c r="D13" s="11" t="e">
        <f>SUM('Civil Debt Exceptions'!C23:G23)</f>
        <v>#REF!</v>
      </c>
    </row>
    <row r="14" spans="2:9" x14ac:dyDescent="0.2">
      <c r="B14" t="s">
        <v>32</v>
      </c>
      <c r="C14" s="11" t="e">
        <f>SUM('Civil Debt Exceptions'!C41:G41)</f>
        <v>#VALUE!</v>
      </c>
      <c r="D14" s="11" t="e">
        <f>SUM('Civil Debt Exceptions'!C43:G43)</f>
        <v>#VALUE!</v>
      </c>
    </row>
    <row r="16" spans="2:9" x14ac:dyDescent="0.2">
      <c r="B16" t="s">
        <v>5</v>
      </c>
      <c r="C16" s="11" t="e">
        <f>SUM(C12:C15)</f>
        <v>#REF!</v>
      </c>
      <c r="D16" s="11" t="e">
        <f>SUM(D12:D15)</f>
        <v>#REF!</v>
      </c>
    </row>
    <row r="17" spans="2:4" x14ac:dyDescent="0.2">
      <c r="B17" t="s">
        <v>33</v>
      </c>
      <c r="C17" s="11" t="e">
        <f>C16-C5</f>
        <v>#REF!</v>
      </c>
      <c r="D17" s="11" t="e">
        <f>D16-C6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/>
  <dimension ref="A1:I34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2.1640625" bestFit="1" customWidth="1"/>
    <col min="2" max="2" width="14.6640625" style="11" bestFit="1" customWidth="1"/>
    <col min="3" max="3" width="13" style="11" bestFit="1" customWidth="1"/>
    <col min="4" max="4" width="15.83203125" style="11" bestFit="1" customWidth="1"/>
    <col min="5" max="5" width="23.33203125" style="11" bestFit="1" customWidth="1"/>
    <col min="6" max="6" width="27.83203125" style="11" bestFit="1" customWidth="1"/>
    <col min="7" max="7" width="9" style="11" bestFit="1" customWidth="1"/>
    <col min="8" max="8" width="23.33203125" style="11" bestFit="1" customWidth="1"/>
  </cols>
  <sheetData>
    <row r="1" spans="1:9" x14ac:dyDescent="0.2">
      <c r="A1" t="s">
        <v>34</v>
      </c>
    </row>
    <row r="3" spans="1:9" x14ac:dyDescent="0.2">
      <c r="A3" t="s">
        <v>18</v>
      </c>
    </row>
    <row r="5" spans="1:9" x14ac:dyDescent="0.2">
      <c r="B5" s="11" t="s">
        <v>4</v>
      </c>
    </row>
    <row r="6" spans="1:9" x14ac:dyDescent="0.2">
      <c r="B6" s="11" t="s">
        <v>9</v>
      </c>
      <c r="C6" s="11" t="s">
        <v>10</v>
      </c>
      <c r="D6" s="11" t="s">
        <v>11</v>
      </c>
      <c r="E6" s="11" t="s">
        <v>35</v>
      </c>
      <c r="F6" s="11" t="s">
        <v>36</v>
      </c>
    </row>
    <row r="7" spans="1:9" x14ac:dyDescent="0.2">
      <c r="A7" t="s">
        <v>37</v>
      </c>
      <c r="B7" s="11" t="e">
        <f>COUNTIFS([1]CCMS_CASE_TOTALS_TRUE!GL:GL,"&gt;0",[1]CCMS_CASE_TOTALS_TRUE!$J:$J,"&lt;=30")</f>
        <v>#VALUE!</v>
      </c>
      <c r="C7" s="11" t="e">
        <f>COUNTIFS([1]CCMS_CASE_TOTALS_TRUE!GM:GM,"&gt;0",[1]CCMS_CASE_TOTALS_TRUE!$J:$J,"&lt;=30")</f>
        <v>#VALUE!</v>
      </c>
      <c r="D7" s="11" t="e">
        <f>COUNTIFS([1]CCMS_CASE_TOTALS_TRUE!GN:GN,"&gt;0",[1]CCMS_CASE_TOTALS_TRUE!$J:$J,"&lt;=30")</f>
        <v>#VALUE!</v>
      </c>
      <c r="E7" s="11" t="e">
        <f>COUNTIFS([1]CCMS_CASE_TOTALS_TRUE!GO:GO,"&gt;0",[1]CCMS_CASE_TOTALS_TRUE!HA:HA,"&lt;&gt;0",[1]CCMS_CASE_TOTALS_TRUE!$J:$J,"&lt;=30")</f>
        <v>#VALUE!</v>
      </c>
      <c r="F7" s="11" t="e">
        <f>COUNTIFS([1]CCMS_CASE_TOTALS_TRUE!GO:GO,"&gt;0",[1]CCMS_CASE_TOTALS_TRUE!HA:HA,"=0",[1]CCMS_CASE_TOTALS_TRUE!$J:$J,"&lt;=30")</f>
        <v>#VALUE!</v>
      </c>
      <c r="G7" s="11" t="s">
        <v>38</v>
      </c>
      <c r="H7" s="11" t="s">
        <v>38</v>
      </c>
      <c r="I7" t="s">
        <v>38</v>
      </c>
    </row>
    <row r="8" spans="1:9" x14ac:dyDescent="0.2">
      <c r="A8" t="s">
        <v>39</v>
      </c>
      <c r="B8" s="11" t="e">
        <f>COUNTIFS([1]CCMS_CASE_TOTALS_TRUE!GL:GL,"&gt;0",[1]CCMS_CASE_TOTALS_TRUE!$J:$J,"&lt;=60")-SUM(B$7)</f>
        <v>#VALUE!</v>
      </c>
      <c r="C8" s="11" t="e">
        <f>COUNTIFS([1]CCMS_CASE_TOTALS_TRUE!GM:GM,"&gt;0",[1]CCMS_CASE_TOTALS_TRUE!$J:$J,"&lt;=60")-SUM(C$7)</f>
        <v>#VALUE!</v>
      </c>
      <c r="D8" s="11" t="e">
        <f>COUNTIFS([1]CCMS_CASE_TOTALS_TRUE!GN:GN,"&gt;0",[1]CCMS_CASE_TOTALS_TRUE!$J:$J,"&lt;=60")-SUM(D$7)</f>
        <v>#VALUE!</v>
      </c>
      <c r="E8" s="11" t="e">
        <f>COUNTIFS([1]CCMS_CASE_TOTALS_TRUE!GO:GO,"&gt;0",[1]CCMS_CASE_TOTALS_TRUE!HA:HA,"&lt;&gt;0",[1]CCMS_CASE_TOTALS_TRUE!$J:$J,"&lt;=60")-SUM(E$7)</f>
        <v>#VALUE!</v>
      </c>
      <c r="F8" s="11" t="e">
        <f>COUNTIFS([1]CCMS_CASE_TOTALS_TRUE!GO:GO,"&gt;0",[1]CCMS_CASE_TOTALS_TRUE!HA:HA,"=0",[1]CCMS_CASE_TOTALS_TRUE!$J:$J,"&lt;=60")-SUM(F$7)</f>
        <v>#VALUE!</v>
      </c>
      <c r="G8" s="11" t="s">
        <v>38</v>
      </c>
      <c r="H8" s="11" t="s">
        <v>38</v>
      </c>
      <c r="I8" t="s">
        <v>38</v>
      </c>
    </row>
    <row r="9" spans="1:9" x14ac:dyDescent="0.2">
      <c r="A9" t="s">
        <v>40</v>
      </c>
      <c r="B9" s="11" t="e">
        <f>COUNTIFS([1]CCMS_CASE_TOTALS_TRUE!GL:GL,"&gt;0",[1]CCMS_CASE_TOTALS_TRUE!$J:$J,"&lt;=90")-SUM(B$7:B8)</f>
        <v>#VALUE!</v>
      </c>
      <c r="C9" s="11" t="e">
        <f>COUNTIFS([1]CCMS_CASE_TOTALS_TRUE!GM:GM,"&gt;0",[1]CCMS_CASE_TOTALS_TRUE!$J:$J,"&lt;=90")-SUM(C$7:C8)</f>
        <v>#VALUE!</v>
      </c>
      <c r="D9" s="11" t="e">
        <f>COUNTIFS([1]CCMS_CASE_TOTALS_TRUE!GN:GN,"&gt;0",[1]CCMS_CASE_TOTALS_TRUE!$J:$J,"&lt;=90")-SUM(D$7:D8)</f>
        <v>#VALUE!</v>
      </c>
      <c r="E9" s="11" t="e">
        <f>COUNTIFS([1]CCMS_CASE_TOTALS_TRUE!GO:GO,"&gt;0",[1]CCMS_CASE_TOTALS_TRUE!HA:HA,"&lt;&gt;0",[1]CCMS_CASE_TOTALS_TRUE!$J:$J,"&lt;=90")-SUM(E$7:E8)</f>
        <v>#VALUE!</v>
      </c>
      <c r="F9" s="11" t="e">
        <f>COUNTIFS([1]CCMS_CASE_TOTALS_TRUE!GO:GO,"&gt;0",[1]CCMS_CASE_TOTALS_TRUE!HA:HA,"=0",[1]CCMS_CASE_TOTALS_TRUE!$J:$J,"&lt;=90")-SUM(F$7:F8)</f>
        <v>#VALUE!</v>
      </c>
      <c r="G9" s="11" t="s">
        <v>38</v>
      </c>
      <c r="H9" s="11" t="s">
        <v>38</v>
      </c>
      <c r="I9" t="s">
        <v>38</v>
      </c>
    </row>
    <row r="10" spans="1:9" x14ac:dyDescent="0.2">
      <c r="A10" t="s">
        <v>41</v>
      </c>
      <c r="B10" s="11" t="e">
        <f>COUNTIFS([1]CCMS_CASE_TOTALS_TRUE!GL:GL,"&gt;0",[1]CCMS_CASE_TOTALS_TRUE!$J:$J,"&lt;=365")-SUM(B$7:B9)</f>
        <v>#VALUE!</v>
      </c>
      <c r="C10" s="11" t="e">
        <f>COUNTIFS([1]CCMS_CASE_TOTALS_TRUE!GM:GM,"&gt;0",[1]CCMS_CASE_TOTALS_TRUE!$J:$J,"&lt;=365")-SUM(C$7:C9)</f>
        <v>#VALUE!</v>
      </c>
      <c r="D10" s="11" t="e">
        <f>COUNTIFS([1]CCMS_CASE_TOTALS_TRUE!GN:GN,"&gt;0",[1]CCMS_CASE_TOTALS_TRUE!$J:$J,"&lt;=365")-SUM(D$7:D9)</f>
        <v>#VALUE!</v>
      </c>
      <c r="E10" s="11" t="e">
        <f>COUNTIFS([1]CCMS_CASE_TOTALS_TRUE!GO:GO,"&gt;0",[1]CCMS_CASE_TOTALS_TRUE!HA:HA,"&lt;&gt;0",[1]CCMS_CASE_TOTALS_TRUE!$J:$J,"&lt;=365")-SUM(E$7:E9)</f>
        <v>#VALUE!</v>
      </c>
      <c r="F10" s="11" t="e">
        <f>COUNTIFS([1]CCMS_CASE_TOTALS_TRUE!GO:GO,"&gt;0",[1]CCMS_CASE_TOTALS_TRUE!HA:HA,"=0",[1]CCMS_CASE_TOTALS_TRUE!$J:$J,"&lt;=365")-SUM(F$7:F9)</f>
        <v>#VALUE!</v>
      </c>
      <c r="G10" s="11" t="s">
        <v>38</v>
      </c>
      <c r="H10" s="11" t="s">
        <v>38</v>
      </c>
      <c r="I10" t="s">
        <v>38</v>
      </c>
    </row>
    <row r="11" spans="1:9" x14ac:dyDescent="0.2">
      <c r="A11" t="s">
        <v>42</v>
      </c>
      <c r="B11" s="11" t="e">
        <f>COUNTIFS([1]CCMS_CASE_TOTALS_TRUE!GL:GL,"&gt;0",[1]CCMS_CASE_TOTALS_TRUE!$J:$J,"&lt;=1095")-SUM(B$7:B10)</f>
        <v>#VALUE!</v>
      </c>
      <c r="C11" s="11" t="e">
        <f>COUNTIFS([1]CCMS_CASE_TOTALS_TRUE!GM:GM,"&gt;0",[1]CCMS_CASE_TOTALS_TRUE!$J:$J,"&lt;=1095")-SUM(C$7:C10)</f>
        <v>#VALUE!</v>
      </c>
      <c r="D11" s="11" t="e">
        <f>COUNTIFS([1]CCMS_CASE_TOTALS_TRUE!GN:GN,"&gt;0",[1]CCMS_CASE_TOTALS_TRUE!$J:$J,"&lt;=1095")-SUM(D$7:D10)</f>
        <v>#VALUE!</v>
      </c>
      <c r="E11" s="11" t="e">
        <f>COUNTIFS([1]CCMS_CASE_TOTALS_TRUE!GO:GO,"&gt;0",[1]CCMS_CASE_TOTALS_TRUE!HA:HA,"&lt;&gt;0",[1]CCMS_CASE_TOTALS_TRUE!$J:$J,"&lt;=1095")-SUM(E$7:E10)</f>
        <v>#VALUE!</v>
      </c>
      <c r="F11" s="11" t="e">
        <f>COUNTIFS([1]CCMS_CASE_TOTALS_TRUE!GO:GO,"&gt;0",[1]CCMS_CASE_TOTALS_TRUE!HA:HA,"=0",[1]CCMS_CASE_TOTALS_TRUE!$J:$J,"&lt;=1095")-SUM(F$7:F10)</f>
        <v>#VALUE!</v>
      </c>
      <c r="G11" s="11" t="s">
        <v>38</v>
      </c>
      <c r="H11" s="11" t="s">
        <v>38</v>
      </c>
      <c r="I11" t="s">
        <v>38</v>
      </c>
    </row>
    <row r="12" spans="1:9" x14ac:dyDescent="0.2">
      <c r="A12" t="s">
        <v>43</v>
      </c>
      <c r="B12" s="11" t="e">
        <f>COUNTIFS([1]CCMS_CASE_TOTALS_TRUE!GL:GL,"&gt;0",[1]CCMS_CASE_TOTALS_TRUE!$J:$J,"&lt;=1825")-SUM(B$7:B11)</f>
        <v>#VALUE!</v>
      </c>
      <c r="C12" s="11" t="e">
        <f>COUNTIFS([1]CCMS_CASE_TOTALS_TRUE!GM:GM,"&gt;0",[1]CCMS_CASE_TOTALS_TRUE!$J:$J,"&lt;=1825")-SUM(C$7:C11)</f>
        <v>#VALUE!</v>
      </c>
      <c r="D12" s="11" t="e">
        <f>COUNTIFS([1]CCMS_CASE_TOTALS_TRUE!GN:GN,"&gt;0",[1]CCMS_CASE_TOTALS_TRUE!$J:$J,"&lt;=1825")-SUM(D$7:D11)</f>
        <v>#VALUE!</v>
      </c>
      <c r="E12" s="11" t="e">
        <f>COUNTIFS([1]CCMS_CASE_TOTALS_TRUE!GO:GO,"&gt;0",[1]CCMS_CASE_TOTALS_TRUE!HA:HA,"&lt;&gt;0",[1]CCMS_CASE_TOTALS_TRUE!$J:$J,"&lt;=1825")-SUM(E$7:E11)</f>
        <v>#VALUE!</v>
      </c>
      <c r="F12" s="11" t="e">
        <f>COUNTIFS([1]CCMS_CASE_TOTALS_TRUE!GO:GO,"&gt;0",[1]CCMS_CASE_TOTALS_TRUE!HA:HA,"=0",[1]CCMS_CASE_TOTALS_TRUE!$J:$J,"&lt;=1825")-SUM(F$7:F11)</f>
        <v>#VALUE!</v>
      </c>
      <c r="G12" s="11" t="s">
        <v>38</v>
      </c>
      <c r="H12" s="11" t="s">
        <v>38</v>
      </c>
      <c r="I12" t="s">
        <v>38</v>
      </c>
    </row>
    <row r="13" spans="1:9" x14ac:dyDescent="0.2">
      <c r="A13" t="s">
        <v>44</v>
      </c>
      <c r="B13" s="11" t="e">
        <f>COUNTIFS([1]CCMS_CASE_TOTALS_TRUE!GL:GL,"&gt;0",[1]CCMS_CASE_TOTALS_TRUE!$J:$J,"&lt;=3650")-SUM(B$7:B12)</f>
        <v>#VALUE!</v>
      </c>
      <c r="C13" s="11" t="e">
        <f>COUNTIFS([1]CCMS_CASE_TOTALS_TRUE!GM:GM,"&gt;0",[1]CCMS_CASE_TOTALS_TRUE!$J:$J,"&lt;=3650")-SUM(C$7:C12)</f>
        <v>#VALUE!</v>
      </c>
      <c r="D13" s="11" t="e">
        <f>COUNTIFS([1]CCMS_CASE_TOTALS_TRUE!GN:GN,"&gt;0",[1]CCMS_CASE_TOTALS_TRUE!$J:$J,"&lt;=3650")-SUM(D$7:D12)</f>
        <v>#VALUE!</v>
      </c>
      <c r="E13" s="11" t="e">
        <f>COUNTIFS([1]CCMS_CASE_TOTALS_TRUE!GO:GO,"&gt;0",[1]CCMS_CASE_TOTALS_TRUE!HA:HA,"&lt;&gt;0",[1]CCMS_CASE_TOTALS_TRUE!$J:$J,"&lt;=3650")-SUM(E$7:E12)</f>
        <v>#VALUE!</v>
      </c>
      <c r="F13" s="11" t="e">
        <f>COUNTIFS([1]CCMS_CASE_TOTALS_TRUE!GO:GO,"&gt;0",[1]CCMS_CASE_TOTALS_TRUE!HA:HA,"=0",[1]CCMS_CASE_TOTALS_TRUE!$J:$J,"&lt;=3650")-SUM(F$7:F12)</f>
        <v>#VALUE!</v>
      </c>
      <c r="G13" s="11" t="s">
        <v>38</v>
      </c>
      <c r="H13" s="11" t="s">
        <v>38</v>
      </c>
      <c r="I13" t="s">
        <v>38</v>
      </c>
    </row>
    <row r="14" spans="1:9" x14ac:dyDescent="0.2">
      <c r="A14" t="s">
        <v>45</v>
      </c>
      <c r="B14" s="11" t="e">
        <f>COUNTIFS([1]CCMS_CASE_TOTALS_TRUE!GL:GL,"&gt;0",[1]CCMS_CASE_TOTALS_TRUE!$J:$J,"&lt;=5475")-SUM(B$7:B13)</f>
        <v>#VALUE!</v>
      </c>
      <c r="C14" s="11" t="e">
        <f>COUNTIFS([1]CCMS_CASE_TOTALS_TRUE!GM:GM,"&gt;0",[1]CCMS_CASE_TOTALS_TRUE!$J:$J,"&lt;=5475")-SUM(C$7:C13)</f>
        <v>#VALUE!</v>
      </c>
      <c r="D14" s="11" t="e">
        <f>COUNTIFS([1]CCMS_CASE_TOTALS_TRUE!GN:GN,"&gt;0",[1]CCMS_CASE_TOTALS_TRUE!$J:$J,"&lt;=5475")-SUM(D$7:D13)</f>
        <v>#VALUE!</v>
      </c>
      <c r="E14" s="11" t="e">
        <f>COUNTIFS([1]CCMS_CASE_TOTALS_TRUE!GO:GO,"&gt;0",[1]CCMS_CASE_TOTALS_TRUE!HA:HA,"&lt;&gt;0",[1]CCMS_CASE_TOTALS_TRUE!$J:$J,"&lt;=5475")-SUM(E$7:E13)</f>
        <v>#VALUE!</v>
      </c>
      <c r="F14" s="11" t="e">
        <f>COUNTIFS([1]CCMS_CASE_TOTALS_TRUE!GO:GO,"&gt;0",[1]CCMS_CASE_TOTALS_TRUE!HA:HA,"=0",[1]CCMS_CASE_TOTALS_TRUE!$J:$J,"&lt;=5475")-SUM(F$7:F13)</f>
        <v>#VALUE!</v>
      </c>
      <c r="G14" s="11" t="s">
        <v>38</v>
      </c>
      <c r="H14" s="11" t="s">
        <v>38</v>
      </c>
      <c r="I14" t="s">
        <v>38</v>
      </c>
    </row>
    <row r="15" spans="1:9" x14ac:dyDescent="0.2">
      <c r="A15" t="s">
        <v>46</v>
      </c>
      <c r="B15" s="11" t="e">
        <f>COUNTIFS([1]CCMS_CASE_TOTALS_TRUE!GL:GL,"&gt;0",[1]CCMS_CASE_TOTALS_TRUE!$J:$J,"&lt;=7300")-SUM(B$7:B14)</f>
        <v>#VALUE!</v>
      </c>
      <c r="C15" s="11" t="e">
        <f>COUNTIFS([1]CCMS_CASE_TOTALS_TRUE!GM:GM,"&gt;0",[1]CCMS_CASE_TOTALS_TRUE!$J:$J,"&lt;=7300")-SUM(C$7:C14)</f>
        <v>#VALUE!</v>
      </c>
      <c r="D15" s="11" t="e">
        <f>COUNTIFS([1]CCMS_CASE_TOTALS_TRUE!GN:GN,"&gt;0",[1]CCMS_CASE_TOTALS_TRUE!$J:$J,"&lt;=7300")-SUM(D$7:D14)</f>
        <v>#VALUE!</v>
      </c>
      <c r="E15" s="11" t="e">
        <f>COUNTIFS([1]CCMS_CASE_TOTALS_TRUE!GO:GO,"&gt;0",[1]CCMS_CASE_TOTALS_TRUE!HA:HA,"&lt;&gt;0",[1]CCMS_CASE_TOTALS_TRUE!$J:$J,"&lt;=7300")-SUM(E$7:E14)</f>
        <v>#VALUE!</v>
      </c>
      <c r="F15" s="11" t="e">
        <f>COUNTIFS([1]CCMS_CASE_TOTALS_TRUE!GO:GO,"&gt;0",[1]CCMS_CASE_TOTALS_TRUE!HA:HA,"=0",[1]CCMS_CASE_TOTALS_TRUE!$J:$J,"&lt;=7300")-SUM(F$7:F14)</f>
        <v>#VALUE!</v>
      </c>
      <c r="G15" s="11" t="s">
        <v>38</v>
      </c>
      <c r="H15" s="11" t="s">
        <v>38</v>
      </c>
      <c r="I15" t="s">
        <v>38</v>
      </c>
    </row>
    <row r="16" spans="1:9" x14ac:dyDescent="0.2">
      <c r="A16" t="s">
        <v>47</v>
      </c>
      <c r="B16" s="11" t="e">
        <f>COUNTIFS([1]CCMS_CASE_TOTALS_TRUE!GL:GL,"&gt;0",[1]CCMS_CASE_TOTALS_TRUE!$J:$J,"&gt;7300")</f>
        <v>#VALUE!</v>
      </c>
      <c r="C16" s="11" t="e">
        <f>COUNTIFS([1]CCMS_CASE_TOTALS_TRUE!GM:GM,"&gt;0",[1]CCMS_CASE_TOTALS_TRUE!$J:$J,"&gt;7300")</f>
        <v>#VALUE!</v>
      </c>
      <c r="D16" s="11" t="e">
        <f>COUNTIFS([1]CCMS_CASE_TOTALS_TRUE!GN:GN,"&gt;0",[1]CCMS_CASE_TOTALS_TRUE!$J:$J,"&gt;7300")</f>
        <v>#VALUE!</v>
      </c>
      <c r="E16" s="11" t="e">
        <f>COUNTIFS([1]CCMS_CASE_TOTALS_TRUE!GO:GO,"&gt;0",[1]CCMS_CASE_TOTALS_TRUE!HA:HA,"&lt;&gt;0",[1]CCMS_CASE_TOTALS_TRUE!$J:$J,"&gt;7300")</f>
        <v>#VALUE!</v>
      </c>
      <c r="F16" s="11" t="e">
        <f>COUNTIFS([1]CCMS_CASE_TOTALS_TRUE!GO:GO,"&gt;0",[1]CCMS_CASE_TOTALS_TRUE!HA:HA,"=0",[1]CCMS_CASE_TOTALS_TRUE!$J:$J,"&gt;7300")</f>
        <v>#VALUE!</v>
      </c>
      <c r="G16" s="11" t="s">
        <v>38</v>
      </c>
      <c r="H16" s="11" t="s">
        <v>38</v>
      </c>
      <c r="I16" t="s">
        <v>38</v>
      </c>
    </row>
    <row r="17" spans="1:9" ht="15.75" customHeight="1" thickBot="1" x14ac:dyDescent="0.25">
      <c r="A17" t="s">
        <v>5</v>
      </c>
      <c r="B17" s="11" t="e">
        <f>SUM(B7:B16)</f>
        <v>#VALUE!</v>
      </c>
      <c r="C17" s="11" t="e">
        <f>SUM(C7:C16)</f>
        <v>#VALUE!</v>
      </c>
      <c r="D17" s="11" t="e">
        <f>SUM(D7:D16)</f>
        <v>#VALUE!</v>
      </c>
      <c r="E17" s="11" t="e">
        <f>SUM(E7:E16)</f>
        <v>#VALUE!</v>
      </c>
      <c r="F17" s="11" t="e">
        <f>SUM(F7:F16)</f>
        <v>#VALUE!</v>
      </c>
      <c r="G17" s="11" t="s">
        <v>38</v>
      </c>
      <c r="H17" s="11" t="s">
        <v>38</v>
      </c>
      <c r="I17" t="s">
        <v>38</v>
      </c>
    </row>
    <row r="18" spans="1:9" ht="15.75" customHeight="1" thickTop="1" x14ac:dyDescent="0.2">
      <c r="G18" s="11" t="s">
        <v>38</v>
      </c>
      <c r="H18" s="11" t="s">
        <v>38</v>
      </c>
      <c r="I18" t="s">
        <v>38</v>
      </c>
    </row>
    <row r="19" spans="1:9" x14ac:dyDescent="0.2">
      <c r="A19" t="s">
        <v>48</v>
      </c>
      <c r="H19" s="11" t="s">
        <v>28</v>
      </c>
    </row>
    <row r="21" spans="1:9" x14ac:dyDescent="0.2">
      <c r="B21" s="11" t="s">
        <v>4</v>
      </c>
    </row>
    <row r="22" spans="1:9" x14ac:dyDescent="0.2">
      <c r="B22" s="11" t="s">
        <v>9</v>
      </c>
      <c r="C22" s="11" t="s">
        <v>10</v>
      </c>
      <c r="D22" s="11" t="s">
        <v>11</v>
      </c>
      <c r="E22" s="11" t="s">
        <v>35</v>
      </c>
      <c r="F22" s="11" t="s">
        <v>36</v>
      </c>
      <c r="H22" s="11" t="s">
        <v>35</v>
      </c>
    </row>
    <row r="23" spans="1:9" x14ac:dyDescent="0.2">
      <c r="A23" t="s">
        <v>37</v>
      </c>
      <c r="B23" s="11" t="e">
        <f>SUMIFS([1]CCMS_CASE_TOTALS_TRUE!GL:GL,[1]CCMS_CASE_TOTALS_TRUE!GL:GL,"&gt;0",[1]CCMS_CASE_TOTALS_TRUE!$J:$J,"&lt;=30")</f>
        <v>#VALUE!</v>
      </c>
      <c r="C23" s="11" t="e">
        <f>SUMIFS([1]CCMS_CASE_TOTALS_TRUE!GM:GM,[1]CCMS_CASE_TOTALS_TRUE!GM:GM,"&gt;0",[1]CCMS_CASE_TOTALS_TRUE!$J:$J,"&lt;=30")</f>
        <v>#VALUE!</v>
      </c>
      <c r="D23" s="11" t="e">
        <f>SUMIFS([1]CCMS_CASE_TOTALS_TRUE!GN:GN,[1]CCMS_CASE_TOTALS_TRUE!GN:GN,"&gt;0",[1]CCMS_CASE_TOTALS_TRUE!$J:$J,"&lt;=30")</f>
        <v>#VALUE!</v>
      </c>
      <c r="E23" s="11" t="e">
        <f>SUMIFS([1]CCMS_CASE_TOTALS_TRUE!GO:GO,[1]CCMS_CASE_TOTALS_TRUE!$J:$J,"&lt;=30",[1]CCMS_CASE_TOTALS_TRUE!HA:HA,"&lt;&gt;0")</f>
        <v>#VALUE!</v>
      </c>
      <c r="F23" s="11" t="e">
        <f>SUMIFS([1]CCMS_CASE_TOTALS_TRUE!GO:GO,[1]CCMS_CASE_TOTALS_TRUE!GO:GO,"&lt;&gt;0",[1]CCMS_CASE_TOTALS_TRUE!$J:$J,"&lt;=30",[1]CCMS_CASE_TOTALS_TRUE!HA:HA,"=0")</f>
        <v>#VALUE!</v>
      </c>
      <c r="H23" s="11" t="e">
        <f>SUMIFS([1]CCMS_CASE_TOTALS_TRUE!HA:HA,[1]CCMS_CASE_TOTALS_TRUE!HA:HA,"&lt;&gt;0",[1]CCMS_CASE_TOTALS_TRUE!$J:$J,"&lt;=30")</f>
        <v>#VALUE!</v>
      </c>
    </row>
    <row r="24" spans="1:9" x14ac:dyDescent="0.2">
      <c r="A24" t="s">
        <v>39</v>
      </c>
      <c r="B24" s="11" t="e">
        <f>SUMIFS([1]CCMS_CASE_TOTALS_TRUE!GL:GL,[1]CCMS_CASE_TOTALS_TRUE!GL:GL,"&gt;0",[1]CCMS_CASE_TOTALS_TRUE!$J:$J,"&lt;=60")-SUM(B$23)</f>
        <v>#VALUE!</v>
      </c>
      <c r="C24" s="11" t="e">
        <f>SUMIFS([1]CCMS_CASE_TOTALS_TRUE!GM:GM,[1]CCMS_CASE_TOTALS_TRUE!GM:GM,"&gt;0",[1]CCMS_CASE_TOTALS_TRUE!$J:$J,"&lt;=60")-SUM(C$23)</f>
        <v>#VALUE!</v>
      </c>
      <c r="D24" s="11" t="e">
        <f>SUMIFS([1]CCMS_CASE_TOTALS_TRUE!GN:GN,[1]CCMS_CASE_TOTALS_TRUE!GN:GN,"&gt;0",[1]CCMS_CASE_TOTALS_TRUE!$J:$J,"&lt;=60")-SUM(D$23)</f>
        <v>#VALUE!</v>
      </c>
      <c r="E24" s="11" t="e">
        <f>SUMIFS([1]CCMS_CASE_TOTALS_TRUE!GO:GO,[1]CCMS_CASE_TOTALS_TRUE!$J:$J,"&lt;=60",[1]CCMS_CASE_TOTALS_TRUE!HA:HA,"&lt;&gt;0")-SUM(E$23)</f>
        <v>#VALUE!</v>
      </c>
      <c r="F24" s="11" t="e">
        <f>SUMIFS([1]CCMS_CASE_TOTALS_TRUE!GO:GO,[1]CCMS_CASE_TOTALS_TRUE!GO:GO,"&lt;&gt;0",[1]CCMS_CASE_TOTALS_TRUE!$J:$J,"&lt;=60",[1]CCMS_CASE_TOTALS_TRUE!HA:HA,"=0")-SUM(F$23)</f>
        <v>#VALUE!</v>
      </c>
      <c r="H24" s="11" t="e">
        <f>SUMIFS([1]CCMS_CASE_TOTALS_TRUE!HA:HA,[1]CCMS_CASE_TOTALS_TRUE!HA:HA,"&lt;&gt;0",[1]CCMS_CASE_TOTALS_TRUE!$J:$J,"&lt;=60")-SUM(H$23)</f>
        <v>#VALUE!</v>
      </c>
    </row>
    <row r="25" spans="1:9" x14ac:dyDescent="0.2">
      <c r="A25" t="s">
        <v>40</v>
      </c>
      <c r="B25" s="11" t="e">
        <f>SUMIFS([1]CCMS_CASE_TOTALS_TRUE!GL:GL,[1]CCMS_CASE_TOTALS_TRUE!GL:GL,"&gt;0",[1]CCMS_CASE_TOTALS_TRUE!$J:$J,"&lt;=90")-SUM(B$23:B24)</f>
        <v>#VALUE!</v>
      </c>
      <c r="C25" s="11" t="e">
        <f>SUMIFS([1]CCMS_CASE_TOTALS_TRUE!GM:GM,[1]CCMS_CASE_TOTALS_TRUE!GM:GM,"&gt;0",[1]CCMS_CASE_TOTALS_TRUE!$J:$J,"&lt;=90")-SUM(C$23:C24)</f>
        <v>#VALUE!</v>
      </c>
      <c r="D25" s="11" t="e">
        <f>SUMIFS([1]CCMS_CASE_TOTALS_TRUE!GN:GN,[1]CCMS_CASE_TOTALS_TRUE!GN:GN,"&gt;0",[1]CCMS_CASE_TOTALS_TRUE!$J:$J,"&lt;=90")-SUM(D$23:D24)</f>
        <v>#VALUE!</v>
      </c>
      <c r="E25" s="11" t="e">
        <f>SUMIFS([1]CCMS_CASE_TOTALS_TRUE!GO:GO,[1]CCMS_CASE_TOTALS_TRUE!$J:$J,"&lt;=90",[1]CCMS_CASE_TOTALS_TRUE!HA:HA,"&lt;&gt;0")-SUM(E$23:E24)</f>
        <v>#VALUE!</v>
      </c>
      <c r="F25" s="11" t="e">
        <f>SUMIFS([1]CCMS_CASE_TOTALS_TRUE!GO:GO,[1]CCMS_CASE_TOTALS_TRUE!GO:GO,"&lt;&gt;0",[1]CCMS_CASE_TOTALS_TRUE!$J:$J,"&lt;=90",[1]CCMS_CASE_TOTALS_TRUE!HA:HA,"=0")-SUM(F$23:F24)</f>
        <v>#VALUE!</v>
      </c>
      <c r="H25" s="11" t="e">
        <f>SUMIFS([1]CCMS_CASE_TOTALS_TRUE!HA:HA,[1]CCMS_CASE_TOTALS_TRUE!HA:HA,"&lt;&gt;0",[1]CCMS_CASE_TOTALS_TRUE!$J:$J,"&lt;=90")-SUM(H$23:H24)</f>
        <v>#VALUE!</v>
      </c>
    </row>
    <row r="26" spans="1:9" x14ac:dyDescent="0.2">
      <c r="A26" t="s">
        <v>41</v>
      </c>
      <c r="B26" s="11" t="e">
        <f>SUMIFS([1]CCMS_CASE_TOTALS_TRUE!GL:GL,[1]CCMS_CASE_TOTALS_TRUE!GL:GL,"&gt;0",[1]CCMS_CASE_TOTALS_TRUE!$J:$J,"&lt;=365")-SUM(B$23:B25)</f>
        <v>#VALUE!</v>
      </c>
      <c r="C26" s="11" t="e">
        <f>SUMIFS([1]CCMS_CASE_TOTALS_TRUE!GM:GM,[1]CCMS_CASE_TOTALS_TRUE!GM:GM,"&gt;0",[1]CCMS_CASE_TOTALS_TRUE!$J:$J,"&lt;=365")-SUM(C$23:C25)</f>
        <v>#VALUE!</v>
      </c>
      <c r="D26" s="11" t="e">
        <f>SUMIFS([1]CCMS_CASE_TOTALS_TRUE!GN:GN,[1]CCMS_CASE_TOTALS_TRUE!GN:GN,"&gt;0",[1]CCMS_CASE_TOTALS_TRUE!$J:$J,"&lt;=365")-SUM(D$23:D25)</f>
        <v>#VALUE!</v>
      </c>
      <c r="E26" s="11" t="e">
        <f>SUMIFS([1]CCMS_CASE_TOTALS_TRUE!GO:GO,[1]CCMS_CASE_TOTALS_TRUE!$J:$J,"&lt;=365",[1]CCMS_CASE_TOTALS_TRUE!HA:HA,"&lt;&gt;0")-SUM(E$23:E25)</f>
        <v>#VALUE!</v>
      </c>
      <c r="F26" s="11" t="e">
        <f>SUMIFS([1]CCMS_CASE_TOTALS_TRUE!GO:GO,[1]CCMS_CASE_TOTALS_TRUE!GO:GO,"&lt;&gt;0",[1]CCMS_CASE_TOTALS_TRUE!$J:$J,"&lt;=365",[1]CCMS_CASE_TOTALS_TRUE!HA:HA,"=0")-SUM(F$23:F25)</f>
        <v>#VALUE!</v>
      </c>
      <c r="H26" s="11" t="e">
        <f>SUMIFS([1]CCMS_CASE_TOTALS_TRUE!HA:HA,[1]CCMS_CASE_TOTALS_TRUE!HA:HA,"&lt;&gt;0",[1]CCMS_CASE_TOTALS_TRUE!$J:$J,"&lt;=365")-SUM(H$23:H25)</f>
        <v>#VALUE!</v>
      </c>
    </row>
    <row r="27" spans="1:9" x14ac:dyDescent="0.2">
      <c r="A27" t="s">
        <v>42</v>
      </c>
      <c r="B27" s="11" t="e">
        <f>SUMIFS([1]CCMS_CASE_TOTALS_TRUE!GL:GL,[1]CCMS_CASE_TOTALS_TRUE!GL:GL,"&gt;0",[1]CCMS_CASE_TOTALS_TRUE!$J:$J,"&lt;=1095")-SUM(B$23:B26)</f>
        <v>#VALUE!</v>
      </c>
      <c r="C27" s="11" t="e">
        <f>SUMIFS([1]CCMS_CASE_TOTALS_TRUE!GM:GM,[1]CCMS_CASE_TOTALS_TRUE!GM:GM,"&gt;0",[1]CCMS_CASE_TOTALS_TRUE!$J:$J,"&lt;=1095")-SUM(C$23:C26)</f>
        <v>#VALUE!</v>
      </c>
      <c r="D27" s="11" t="e">
        <f>SUMIFS([1]CCMS_CASE_TOTALS_TRUE!GN:GN,[1]CCMS_CASE_TOTALS_TRUE!GN:GN,"&gt;0",[1]CCMS_CASE_TOTALS_TRUE!$J:$J,"&lt;=1095")-SUM(D$23:D26)</f>
        <v>#VALUE!</v>
      </c>
      <c r="E27" s="11" t="e">
        <f>SUMIFS([1]CCMS_CASE_TOTALS_TRUE!GO:GO,[1]CCMS_CASE_TOTALS_TRUE!$J:$J,"&lt;=1095",[1]CCMS_CASE_TOTALS_TRUE!HA:HA,"&lt;&gt;0")-SUM(E$23:E26)</f>
        <v>#VALUE!</v>
      </c>
      <c r="F27" s="11" t="e">
        <f>SUMIFS([1]CCMS_CASE_TOTALS_TRUE!GO:GO,[1]CCMS_CASE_TOTALS_TRUE!GO:GO,"&lt;&gt;0",[1]CCMS_CASE_TOTALS_TRUE!$J:$J,"&lt;=1095",[1]CCMS_CASE_TOTALS_TRUE!HA:HA,"=0")-SUM(F$23:F26)</f>
        <v>#VALUE!</v>
      </c>
      <c r="H27" s="11" t="e">
        <f>SUMIFS([1]CCMS_CASE_TOTALS_TRUE!HA:HA,[1]CCMS_CASE_TOTALS_TRUE!HA:HA,"&lt;&gt;0",[1]CCMS_CASE_TOTALS_TRUE!$J:$J,"&lt;=1095")-SUM(H$23:H26)</f>
        <v>#VALUE!</v>
      </c>
    </row>
    <row r="28" spans="1:9" x14ac:dyDescent="0.2">
      <c r="A28" t="s">
        <v>43</v>
      </c>
      <c r="B28" s="11" t="e">
        <f>SUMIFS([1]CCMS_CASE_TOTALS_TRUE!GL:GL,[1]CCMS_CASE_TOTALS_TRUE!GL:GL,"&gt;0",[1]CCMS_CASE_TOTALS_TRUE!$J:$J,"&lt;=1825")-SUM(B$23:B27)</f>
        <v>#VALUE!</v>
      </c>
      <c r="C28" s="11" t="e">
        <f>SUMIFS([1]CCMS_CASE_TOTALS_TRUE!GM:GM,[1]CCMS_CASE_TOTALS_TRUE!GM:GM,"&gt;0",[1]CCMS_CASE_TOTALS_TRUE!$J:$J,"&lt;=1825")-SUM(C$23:C27)</f>
        <v>#VALUE!</v>
      </c>
      <c r="D28" s="11" t="e">
        <f>SUMIFS([1]CCMS_CASE_TOTALS_TRUE!GN:GN,[1]CCMS_CASE_TOTALS_TRUE!GN:GN,"&gt;0",[1]CCMS_CASE_TOTALS_TRUE!$J:$J,"&lt;=1825")-SUM(D$23:D27)</f>
        <v>#VALUE!</v>
      </c>
      <c r="E28" s="11" t="e">
        <f>SUMIFS([1]CCMS_CASE_TOTALS_TRUE!GO:GO,[1]CCMS_CASE_TOTALS_TRUE!$J:$J,"&lt;=1825",[1]CCMS_CASE_TOTALS_TRUE!HA:HA,"&lt;&gt;0")-SUM(E$23:E27)</f>
        <v>#VALUE!</v>
      </c>
      <c r="F28" s="11" t="e">
        <f>SUMIFS([1]CCMS_CASE_TOTALS_TRUE!GO:GO,[1]CCMS_CASE_TOTALS_TRUE!GO:GO,"&lt;&gt;0",[1]CCMS_CASE_TOTALS_TRUE!$J:$J,"&lt;=1825",[1]CCMS_CASE_TOTALS_TRUE!HA:HA,"=0")-SUM(F$23:F27)</f>
        <v>#VALUE!</v>
      </c>
      <c r="H28" s="11" t="e">
        <f>SUMIFS([1]CCMS_CASE_TOTALS_TRUE!HA:HA,[1]CCMS_CASE_TOTALS_TRUE!HA:HA,"&lt;&gt;0",[1]CCMS_CASE_TOTALS_TRUE!$J:$J,"&lt;=1825")-SUM(H$23:H27)</f>
        <v>#VALUE!</v>
      </c>
    </row>
    <row r="29" spans="1:9" x14ac:dyDescent="0.2">
      <c r="A29" t="s">
        <v>44</v>
      </c>
      <c r="B29" s="11" t="e">
        <f>SUMIFS([1]CCMS_CASE_TOTALS_TRUE!GL:GL,[1]CCMS_CASE_TOTALS_TRUE!GL:GL,"&gt;0",[1]CCMS_CASE_TOTALS_TRUE!$J:$J,"&lt;=3650")-SUM(B$23:B28)</f>
        <v>#VALUE!</v>
      </c>
      <c r="C29" s="11" t="e">
        <f>SUMIFS([1]CCMS_CASE_TOTALS_TRUE!GM:GM,[1]CCMS_CASE_TOTALS_TRUE!GM:GM,"&gt;0",[1]CCMS_CASE_TOTALS_TRUE!$J:$J,"&lt;=3650")-SUM(C$23:C28)</f>
        <v>#VALUE!</v>
      </c>
      <c r="D29" s="11" t="e">
        <f>SUMIFS([1]CCMS_CASE_TOTALS_TRUE!GN:GN,[1]CCMS_CASE_TOTALS_TRUE!GN:GN,"&gt;0",[1]CCMS_CASE_TOTALS_TRUE!$J:$J,"&lt;=3650")-SUM(D$23:D28)</f>
        <v>#VALUE!</v>
      </c>
      <c r="E29" s="11" t="e">
        <f>SUMIFS([1]CCMS_CASE_TOTALS_TRUE!GO:GO,[1]CCMS_CASE_TOTALS_TRUE!$J:$J,"&lt;=3650",[1]CCMS_CASE_TOTALS_TRUE!HA:HA,"&lt;&gt;0")-SUM(E$23:E28)</f>
        <v>#VALUE!</v>
      </c>
      <c r="F29" s="11" t="e">
        <f>SUMIFS([1]CCMS_CASE_TOTALS_TRUE!GO:GO,[1]CCMS_CASE_TOTALS_TRUE!GO:GO,"&lt;&gt;0",[1]CCMS_CASE_TOTALS_TRUE!$J:$J,"&lt;=3650",[1]CCMS_CASE_TOTALS_TRUE!HA:HA,"=0")-SUM(F$23:F28)</f>
        <v>#VALUE!</v>
      </c>
      <c r="H29" s="11" t="e">
        <f>SUMIFS([1]CCMS_CASE_TOTALS_TRUE!HA:HA,[1]CCMS_CASE_TOTALS_TRUE!HA:HA,"&lt;&gt;0",[1]CCMS_CASE_TOTALS_TRUE!$J:$J,"&lt;=3650")-SUM(H$23:H28)</f>
        <v>#VALUE!</v>
      </c>
    </row>
    <row r="30" spans="1:9" x14ac:dyDescent="0.2">
      <c r="A30" t="s">
        <v>45</v>
      </c>
      <c r="B30" s="11" t="e">
        <f>SUMIFS([1]CCMS_CASE_TOTALS_TRUE!GL:GL,[1]CCMS_CASE_TOTALS_TRUE!GL:GL,"&gt;0",[1]CCMS_CASE_TOTALS_TRUE!$J:$J,"&lt;=5475")-SUM(B$23:B29)</f>
        <v>#VALUE!</v>
      </c>
      <c r="C30" s="11" t="e">
        <f>SUMIFS([1]CCMS_CASE_TOTALS_TRUE!GM:GM,[1]CCMS_CASE_TOTALS_TRUE!GM:GM,"&gt;0",[1]CCMS_CASE_TOTALS_TRUE!$J:$J,"&lt;=5475")-SUM(C$23:C29)</f>
        <v>#VALUE!</v>
      </c>
      <c r="D30" s="11" t="e">
        <f>SUMIFS([1]CCMS_CASE_TOTALS_TRUE!GN:GN,[1]CCMS_CASE_TOTALS_TRUE!GN:GN,"&gt;0",[1]CCMS_CASE_TOTALS_TRUE!$J:$J,"&lt;=5475")-SUM(D$23:D29)</f>
        <v>#VALUE!</v>
      </c>
      <c r="E30" s="11" t="e">
        <f>SUMIFS([1]CCMS_CASE_TOTALS_TRUE!GO:GO,[1]CCMS_CASE_TOTALS_TRUE!$J:$J,"&lt;=5475",[1]CCMS_CASE_TOTALS_TRUE!HA:HA,"&lt;&gt;0")-SUM(E$23:E29)</f>
        <v>#VALUE!</v>
      </c>
      <c r="F30" s="11" t="e">
        <f>SUMIFS([1]CCMS_CASE_TOTALS_TRUE!GO:GO,[1]CCMS_CASE_TOTALS_TRUE!GO:GO,"&lt;&gt;0",[1]CCMS_CASE_TOTALS_TRUE!$J:$J,"&lt;=5475",[1]CCMS_CASE_TOTALS_TRUE!HA:HA,"=0")-SUM(F$23:F29)</f>
        <v>#VALUE!</v>
      </c>
      <c r="H30" s="11" t="e">
        <f>SUMIFS([1]CCMS_CASE_TOTALS_TRUE!HA:HA,[1]CCMS_CASE_TOTALS_TRUE!HA:HA,"&lt;&gt;0",[1]CCMS_CASE_TOTALS_TRUE!$J:$J,"&lt;=5475")-SUM(H$23:H29)</f>
        <v>#VALUE!</v>
      </c>
    </row>
    <row r="31" spans="1:9" x14ac:dyDescent="0.2">
      <c r="A31" t="s">
        <v>46</v>
      </c>
      <c r="B31" s="11" t="e">
        <f>SUMIFS([1]CCMS_CASE_TOTALS_TRUE!GL:GL,[1]CCMS_CASE_TOTALS_TRUE!GL:GL,"&gt;0",[1]CCMS_CASE_TOTALS_TRUE!$J:$J,"&lt;=7300")-SUM(B$23:B30)</f>
        <v>#VALUE!</v>
      </c>
      <c r="C31" s="11" t="e">
        <f>SUMIFS([1]CCMS_CASE_TOTALS_TRUE!GM:GM,[1]CCMS_CASE_TOTALS_TRUE!GM:GM,"&gt;0",[1]CCMS_CASE_TOTALS_TRUE!$J:$J,"&lt;=7300")-SUM(C$23:C30)</f>
        <v>#VALUE!</v>
      </c>
      <c r="D31" s="11" t="e">
        <f>SUMIFS([1]CCMS_CASE_TOTALS_TRUE!GN:GN,[1]CCMS_CASE_TOTALS_TRUE!GN:GN,"&gt;0",[1]CCMS_CASE_TOTALS_TRUE!$J:$J,"&lt;=7300")-SUM(D$23:D30)</f>
        <v>#VALUE!</v>
      </c>
      <c r="E31" s="11" t="e">
        <f>SUMIFS([1]CCMS_CASE_TOTALS_TRUE!GO:GO,[1]CCMS_CASE_TOTALS_TRUE!$J:$J,"&lt;=7300",[1]CCMS_CASE_TOTALS_TRUE!HA:HA,"&lt;&gt;0")-SUM(E$23:E30)</f>
        <v>#VALUE!</v>
      </c>
      <c r="F31" s="11" t="e">
        <f>SUMIFS([1]CCMS_CASE_TOTALS_TRUE!GO:GO,[1]CCMS_CASE_TOTALS_TRUE!GO:GO,"&lt;&gt;0",[1]CCMS_CASE_TOTALS_TRUE!$J:$J,"&lt;=7300",[1]CCMS_CASE_TOTALS_TRUE!HA:HA,"=0")-SUM(F$23:F30)</f>
        <v>#VALUE!</v>
      </c>
      <c r="H31" s="11" t="e">
        <f>SUMIFS([1]CCMS_CASE_TOTALS_TRUE!HA:HA,[1]CCMS_CASE_TOTALS_TRUE!HA:HA,"&lt;&gt;0",[1]CCMS_CASE_TOTALS_TRUE!$J:$J,"&lt;=7300")-SUM(H$23:H30)</f>
        <v>#VALUE!</v>
      </c>
    </row>
    <row r="32" spans="1:9" x14ac:dyDescent="0.2">
      <c r="A32" t="s">
        <v>47</v>
      </c>
      <c r="B32" s="11" t="e">
        <f>SUMIFS([1]CCMS_CASE_TOTALS_TRUE!GL:GL,[1]CCMS_CASE_TOTALS_TRUE!GL:GL,"&gt;0")-SUM(B23:B31)</f>
        <v>#VALUE!</v>
      </c>
      <c r="C32" s="11" t="e">
        <f>SUMIFS([1]CCMS_CASE_TOTALS_TRUE!GM:GM,[1]CCMS_CASE_TOTALS_TRUE!GM:GM,"&gt;0")-SUM(C23:C31)</f>
        <v>#VALUE!</v>
      </c>
      <c r="D32" s="11" t="e">
        <f>SUMIFS([1]CCMS_CASE_TOTALS_TRUE!GN:GN,[1]CCMS_CASE_TOTALS_TRUE!GN:GN,"&gt;0")-SUM(D23:D31)</f>
        <v>#VALUE!</v>
      </c>
      <c r="E32" s="11" t="e">
        <f>SUMIFS([1]CCMS_CASE_TOTALS_TRUE!GO:GO,[1]CCMS_CASE_TOTALS_TRUE!HA:HA,"&lt;&gt;0")-SUM(E23:E31)</f>
        <v>#VALUE!</v>
      </c>
      <c r="F32" s="11" t="e">
        <f>SUMIFS([1]CCMS_CASE_TOTALS_TRUE!GO:GO,[1]CCMS_CASE_TOTALS_TRUE!GO:GO,"&lt;&gt;0",[1]CCMS_CASE_TOTALS_TRUE!HA:HA,"=0")-SUM(F23:F31)</f>
        <v>#VALUE!</v>
      </c>
      <c r="H32" s="11" t="e">
        <f>SUMIFS([1]CCMS_CASE_TOTALS_TRUE!HA:HA,[1]CCMS_CASE_TOTALS_TRUE!HA:HA,"&lt;&gt;0")-SUM(H23:H31)</f>
        <v>#VALUE!</v>
      </c>
    </row>
    <row r="33" spans="1:8" ht="15.75" customHeight="1" thickBot="1" x14ac:dyDescent="0.25">
      <c r="A33" t="s">
        <v>5</v>
      </c>
      <c r="B33" s="11" t="e">
        <f>SUM(B23:B32)</f>
        <v>#VALUE!</v>
      </c>
      <c r="C33" s="11" t="e">
        <f>SUM(C23:C32)</f>
        <v>#VALUE!</v>
      </c>
      <c r="D33" s="11" t="e">
        <f>SUM(D23:D32)</f>
        <v>#VALUE!</v>
      </c>
      <c r="E33" s="11" t="e">
        <f>SUM(E23:E32)</f>
        <v>#VALUE!</v>
      </c>
      <c r="F33" s="11" t="e">
        <f>SUM(F23:F32)</f>
        <v>#VALUE!</v>
      </c>
      <c r="H33" s="11" t="e">
        <f>SUM(H23:H32)</f>
        <v>#VALUE!</v>
      </c>
    </row>
    <row r="34" spans="1:8" ht="15.75" customHeight="1" thickTop="1" x14ac:dyDescent="0.2">
      <c r="A34" t="s">
        <v>15</v>
      </c>
      <c r="B34" s="11" t="e">
        <f>MAIN!G6-'Age Profile'!B33</f>
        <v>#REF!</v>
      </c>
      <c r="C34" s="11" t="e">
        <f>C33-MAIN!G7</f>
        <v>#VALUE!</v>
      </c>
      <c r="D34" s="11" t="e">
        <f>D33-MAIN!G8</f>
        <v>#VALUE!</v>
      </c>
      <c r="E34" s="11" t="e">
        <f>E33-MAIN!G9</f>
        <v>#VALUE!</v>
      </c>
      <c r="F34" s="11" t="e">
        <f>MAIN!G10+MAIN!G11-F33</f>
        <v>#VALUE!</v>
      </c>
      <c r="H34" s="11" t="e">
        <f>MAIN!H9-H33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0"/>
  <dimension ref="B1:M55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36.5" bestFit="1" customWidth="1"/>
    <col min="3" max="4" width="15.83203125" style="11" bestFit="1" customWidth="1"/>
    <col min="5" max="5" width="16.33203125" style="11" bestFit="1" customWidth="1"/>
    <col min="6" max="6" width="15.83203125" style="11" bestFit="1" customWidth="1"/>
    <col min="7" max="7" width="17" style="11" bestFit="1" customWidth="1"/>
    <col min="8" max="8" width="4.33203125" style="11" customWidth="1"/>
    <col min="9" max="9" width="17" style="11" bestFit="1" customWidth="1"/>
    <col min="11" max="12" width="16.83203125" style="11" bestFit="1" customWidth="1"/>
    <col min="13" max="13" width="11.5" style="11" bestFit="1" customWidth="1"/>
  </cols>
  <sheetData>
    <row r="1" spans="2:9" x14ac:dyDescent="0.2">
      <c r="B1" t="s">
        <v>6</v>
      </c>
    </row>
    <row r="3" spans="2:9" x14ac:dyDescent="0.2">
      <c r="B3" t="s">
        <v>49</v>
      </c>
    </row>
    <row r="5" spans="2:9" x14ac:dyDescent="0.2">
      <c r="B5" t="s">
        <v>50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51</v>
      </c>
      <c r="I5" s="11" t="s">
        <v>5</v>
      </c>
    </row>
    <row r="6" spans="2:9" x14ac:dyDescent="0.2">
      <c r="B6" t="s">
        <v>52</v>
      </c>
      <c r="C6" s="11" t="e">
        <f>#REF!</f>
        <v>#REF!</v>
      </c>
      <c r="D6" s="11" t="e">
        <f>#REF!</f>
        <v>#REF!</v>
      </c>
      <c r="E6" s="11" t="e">
        <f>#REF!</f>
        <v>#REF!</v>
      </c>
      <c r="F6" s="11" t="e">
        <f>#REF!</f>
        <v>#REF!</v>
      </c>
      <c r="G6" s="11" t="e">
        <f>#REF!</f>
        <v>#REF!</v>
      </c>
      <c r="I6" s="11" t="e">
        <f t="shared" ref="I6:I12" si="0">SUM(C6:H6)</f>
        <v>#REF!</v>
      </c>
    </row>
    <row r="7" spans="2:9" x14ac:dyDescent="0.2">
      <c r="B7" t="s">
        <v>53</v>
      </c>
      <c r="C7" s="11" t="e">
        <f>#REF!</f>
        <v>#REF!</v>
      </c>
      <c r="D7" s="11" t="e">
        <f>#REF!</f>
        <v>#REF!</v>
      </c>
      <c r="E7" s="11" t="e">
        <f>#REF!</f>
        <v>#REF!</v>
      </c>
      <c r="F7" s="11" t="e">
        <f>#REF!</f>
        <v>#REF!</v>
      </c>
      <c r="G7" s="11" t="e">
        <f>#REF!</f>
        <v>#REF!</v>
      </c>
      <c r="I7" s="11" t="e">
        <f t="shared" si="0"/>
        <v>#REF!</v>
      </c>
    </row>
    <row r="8" spans="2:9" x14ac:dyDescent="0.2">
      <c r="B8" t="s">
        <v>54</v>
      </c>
      <c r="C8" s="11" t="e">
        <f>#REF!</f>
        <v>#REF!</v>
      </c>
      <c r="D8" s="11" t="e">
        <f>#REF!</f>
        <v>#REF!</v>
      </c>
      <c r="E8" s="11" t="e">
        <f>#REF!</f>
        <v>#REF!</v>
      </c>
      <c r="F8" s="11" t="e">
        <f>#REF!</f>
        <v>#REF!</v>
      </c>
      <c r="G8" s="11" t="e">
        <f>#REF!</f>
        <v>#REF!</v>
      </c>
      <c r="I8" s="11" t="e">
        <f t="shared" si="0"/>
        <v>#REF!</v>
      </c>
    </row>
    <row r="9" spans="2:9" x14ac:dyDescent="0.2">
      <c r="B9" t="s">
        <v>55</v>
      </c>
      <c r="C9" s="11" t="e">
        <f>#REF!</f>
        <v>#REF!</v>
      </c>
      <c r="D9" s="11" t="e">
        <f>#REF!</f>
        <v>#REF!</v>
      </c>
      <c r="E9" s="11" t="e">
        <f>#REF!</f>
        <v>#REF!</v>
      </c>
      <c r="F9" s="11" t="e">
        <f>#REF!</f>
        <v>#REF!</v>
      </c>
      <c r="G9" s="11" t="e">
        <f>#REF!</f>
        <v>#REF!</v>
      </c>
      <c r="I9" s="11" t="e">
        <f t="shared" si="0"/>
        <v>#REF!</v>
      </c>
    </row>
    <row r="10" spans="2:9" x14ac:dyDescent="0.2">
      <c r="B10" t="s">
        <v>56</v>
      </c>
      <c r="C10" s="11" t="e">
        <f>#REF!</f>
        <v>#REF!</v>
      </c>
      <c r="D10" s="11" t="e">
        <f>#REF!</f>
        <v>#REF!</v>
      </c>
      <c r="E10" s="11" t="e">
        <f>#REF!</f>
        <v>#REF!</v>
      </c>
      <c r="F10" s="11" t="e">
        <f>#REF!</f>
        <v>#REF!</v>
      </c>
      <c r="G10" s="11" t="e">
        <f>#REF!</f>
        <v>#REF!</v>
      </c>
      <c r="I10" s="11" t="e">
        <f t="shared" si="0"/>
        <v>#REF!</v>
      </c>
    </row>
    <row r="11" spans="2:9" x14ac:dyDescent="0.2">
      <c r="B11" t="s">
        <v>57</v>
      </c>
      <c r="C11" s="11" t="e">
        <f>#REF!</f>
        <v>#REF!</v>
      </c>
      <c r="D11" s="11" t="e">
        <f>#REF!</f>
        <v>#REF!</v>
      </c>
      <c r="E11" s="11" t="e">
        <f>#REF!</f>
        <v>#REF!</v>
      </c>
      <c r="F11" s="11" t="e">
        <f>#REF!</f>
        <v>#REF!</v>
      </c>
      <c r="G11" s="11" t="e">
        <f>#REF!</f>
        <v>#REF!</v>
      </c>
      <c r="I11" s="11" t="e">
        <f t="shared" si="0"/>
        <v>#REF!</v>
      </c>
    </row>
    <row r="12" spans="2:9" x14ac:dyDescent="0.2">
      <c r="B12" t="s">
        <v>58</v>
      </c>
      <c r="C12" s="11" t="e">
        <f>#REF!</f>
        <v>#REF!</v>
      </c>
      <c r="D12" s="11" t="e">
        <f>#REF!</f>
        <v>#REF!</v>
      </c>
      <c r="E12" s="11" t="e">
        <f>#REF!</f>
        <v>#REF!</v>
      </c>
      <c r="F12" s="11" t="e">
        <f>#REF!</f>
        <v>#REF!</v>
      </c>
      <c r="G12" s="11" t="e">
        <f>#REF!</f>
        <v>#REF!</v>
      </c>
      <c r="I12" s="11" t="e">
        <f t="shared" si="0"/>
        <v>#REF!</v>
      </c>
    </row>
    <row r="14" spans="2:9" x14ac:dyDescent="0.2">
      <c r="B14" t="s">
        <v>59</v>
      </c>
      <c r="C14" s="11" t="e">
        <f>C6-SUM(C7:C12)</f>
        <v>#REF!</v>
      </c>
      <c r="D14" s="11" t="e">
        <f>D6-SUM(D7:D12)</f>
        <v>#REF!</v>
      </c>
      <c r="E14" s="11" t="e">
        <f>E6-SUM(E7:E12)</f>
        <v>#REF!</v>
      </c>
      <c r="F14" s="11" t="e">
        <f>F6-SUM(F7:F12)</f>
        <v>#REF!</v>
      </c>
      <c r="G14" s="11" t="e">
        <f>G6-SUM(G7:G12)</f>
        <v>#REF!</v>
      </c>
      <c r="I14" s="11" t="e">
        <f>I6-SUM(I7:I12)</f>
        <v>#REF!</v>
      </c>
    </row>
    <row r="15" spans="2:9" x14ac:dyDescent="0.2">
      <c r="B15" t="s">
        <v>15</v>
      </c>
      <c r="C15" s="11" t="e">
        <f>#REF!-C14</f>
        <v>#REF!</v>
      </c>
      <c r="D15" s="11" t="e">
        <f>#REF!-D14</f>
        <v>#REF!</v>
      </c>
      <c r="E15" s="11" t="e">
        <f>#REF!-E14</f>
        <v>#REF!</v>
      </c>
      <c r="F15" s="11" t="e">
        <f>#REF!-F14</f>
        <v>#REF!</v>
      </c>
      <c r="G15" s="11" t="e">
        <f>#REF!-G14</f>
        <v>#REF!</v>
      </c>
      <c r="I15" s="11" t="e">
        <f>#REF!-I14</f>
        <v>#REF!</v>
      </c>
    </row>
    <row r="17" spans="2:13" x14ac:dyDescent="0.2">
      <c r="B17" t="s">
        <v>60</v>
      </c>
    </row>
    <row r="19" spans="2:13" x14ac:dyDescent="0.2">
      <c r="B19" t="s">
        <v>50</v>
      </c>
      <c r="C19" s="11" t="s">
        <v>8</v>
      </c>
      <c r="D19" s="11" t="s">
        <v>9</v>
      </c>
      <c r="E19" s="11" t="s">
        <v>10</v>
      </c>
      <c r="F19" s="11" t="s">
        <v>11</v>
      </c>
      <c r="G19" s="11" t="s">
        <v>51</v>
      </c>
      <c r="I19" s="11" t="s">
        <v>5</v>
      </c>
    </row>
    <row r="20" spans="2:13" x14ac:dyDescent="0.2">
      <c r="B20" t="s">
        <v>61</v>
      </c>
      <c r="C20" s="11" t="e">
        <f>#REF!+'Civil Debt Exceptions'!C8+'Civil Debt Exceptions'!C28</f>
        <v>#REF!</v>
      </c>
      <c r="D20" s="11" t="e">
        <f>#REF!+'Civil Debt Exceptions'!D8+'Civil Debt Exceptions'!D28</f>
        <v>#REF!</v>
      </c>
      <c r="E20" s="11" t="e">
        <f>#REF!+'Civil Debt Exceptions'!E8+'Civil Debt Exceptions'!E28</f>
        <v>#REF!</v>
      </c>
      <c r="F20" s="11" t="e">
        <f>#REF!+'Civil Debt Exceptions'!F8+'Civil Debt Exceptions'!F28</f>
        <v>#REF!</v>
      </c>
      <c r="G20" s="11" t="e">
        <f>#REF!+'Civil Debt Exceptions'!G8+'Civil Debt Exceptions'!G28</f>
        <v>#REF!</v>
      </c>
      <c r="I20" s="11" t="e">
        <f t="shared" ref="I20:I26" si="1">SUM(C20:G20)</f>
        <v>#REF!</v>
      </c>
    </row>
    <row r="21" spans="2:13" x14ac:dyDescent="0.2">
      <c r="B21" t="s">
        <v>62</v>
      </c>
      <c r="C21" s="11" t="e">
        <f>#REF!+'Civil Debt Exceptions'!C10+'Civil Debt Exceptions'!C30</f>
        <v>#REF!</v>
      </c>
      <c r="D21" s="11" t="e">
        <f>#REF!+'Civil Debt Exceptions'!D10+'Civil Debt Exceptions'!D30</f>
        <v>#REF!</v>
      </c>
      <c r="E21" s="11" t="e">
        <f>#REF!+'Civil Debt Exceptions'!E10+'Civil Debt Exceptions'!E30</f>
        <v>#REF!</v>
      </c>
      <c r="F21" s="11" t="e">
        <f>#REF!+'Civil Debt Exceptions'!F10+'Civil Debt Exceptions'!F30</f>
        <v>#REF!</v>
      </c>
      <c r="G21" s="11" t="e">
        <f>#REF!+'Civil Debt Exceptions'!G10+'Civil Debt Exceptions'!G30</f>
        <v>#REF!</v>
      </c>
      <c r="I21" s="11" t="e">
        <f t="shared" si="1"/>
        <v>#REF!</v>
      </c>
    </row>
    <row r="22" spans="2:13" x14ac:dyDescent="0.2">
      <c r="B22" t="s">
        <v>63</v>
      </c>
      <c r="C22" s="11" t="e">
        <f>#REF!+'Civil Debt Exceptions'!C11+'Civil Debt Exceptions'!C31</f>
        <v>#REF!</v>
      </c>
      <c r="D22" s="11" t="e">
        <f>#REF!+'Civil Debt Exceptions'!D11+'Civil Debt Exceptions'!D31</f>
        <v>#REF!</v>
      </c>
      <c r="E22" s="11" t="e">
        <f>#REF!+'Civil Debt Exceptions'!E11+'Civil Debt Exceptions'!E31</f>
        <v>#REF!</v>
      </c>
      <c r="F22" s="11" t="e">
        <f>#REF!+'Civil Debt Exceptions'!F11+'Civil Debt Exceptions'!F31</f>
        <v>#REF!</v>
      </c>
      <c r="G22" s="11" t="e">
        <f>#REF!+'Civil Debt Exceptions'!G11+'Civil Debt Exceptions'!G31</f>
        <v>#REF!</v>
      </c>
      <c r="I22" s="11" t="e">
        <f t="shared" si="1"/>
        <v>#REF!</v>
      </c>
    </row>
    <row r="23" spans="2:13" x14ac:dyDescent="0.2">
      <c r="B23" t="s">
        <v>64</v>
      </c>
      <c r="C23" s="11" t="e">
        <f>#REF!+'Civil Debt Exceptions'!C13+'Civil Debt Exceptions'!C33</f>
        <v>#REF!</v>
      </c>
      <c r="D23" s="11" t="e">
        <f>#REF!+'Civil Debt Exceptions'!D13+'Civil Debt Exceptions'!D33</f>
        <v>#REF!</v>
      </c>
      <c r="E23" s="11" t="e">
        <f>#REF!+'Civil Debt Exceptions'!E13+'Civil Debt Exceptions'!E33</f>
        <v>#REF!</v>
      </c>
      <c r="F23" s="11" t="e">
        <f>#REF!+'Civil Debt Exceptions'!F13+'Civil Debt Exceptions'!F33</f>
        <v>#REF!</v>
      </c>
      <c r="G23" s="11" t="e">
        <f>#REF!+'Civil Debt Exceptions'!G13+'Civil Debt Exceptions'!G33</f>
        <v>#REF!</v>
      </c>
      <c r="I23" s="11" t="e">
        <f t="shared" si="1"/>
        <v>#REF!</v>
      </c>
    </row>
    <row r="24" spans="2:13" x14ac:dyDescent="0.2">
      <c r="B24" t="s">
        <v>65</v>
      </c>
      <c r="C24" s="11" t="e">
        <f>#REF!+'Civil Debt Exceptions'!C15+'Civil Debt Exceptions'!C35</f>
        <v>#REF!</v>
      </c>
      <c r="D24" s="11" t="e">
        <f>#REF!+'Civil Debt Exceptions'!D15+'Civil Debt Exceptions'!D35</f>
        <v>#REF!</v>
      </c>
      <c r="E24" s="11" t="e">
        <f>#REF!+'Civil Debt Exceptions'!E15+'Civil Debt Exceptions'!E35</f>
        <v>#REF!</v>
      </c>
      <c r="F24" s="11" t="e">
        <f>#REF!+'Civil Debt Exceptions'!F15+'Civil Debt Exceptions'!F35</f>
        <v>#REF!</v>
      </c>
      <c r="G24" s="11" t="e">
        <f>#REF!+'Civil Debt Exceptions'!G15+'Civil Debt Exceptions'!G35</f>
        <v>#REF!</v>
      </c>
      <c r="I24" s="11" t="e">
        <f t="shared" si="1"/>
        <v>#REF!</v>
      </c>
    </row>
    <row r="25" spans="2:13" x14ac:dyDescent="0.2">
      <c r="B25" t="s">
        <v>66</v>
      </c>
      <c r="C25" s="11" t="e">
        <f>#REF!+'Civil Debt Exceptions'!C17+'Civil Debt Exceptions'!C37</f>
        <v>#REF!</v>
      </c>
      <c r="D25" s="11" t="e">
        <f>#REF!+'Civil Debt Exceptions'!D17+'Civil Debt Exceptions'!D37</f>
        <v>#REF!</v>
      </c>
      <c r="E25" s="11" t="e">
        <f>#REF!+'Civil Debt Exceptions'!E17+'Civil Debt Exceptions'!E37</f>
        <v>#REF!</v>
      </c>
      <c r="F25" s="11" t="e">
        <f>#REF!+'Civil Debt Exceptions'!F17+'Civil Debt Exceptions'!F37</f>
        <v>#REF!</v>
      </c>
      <c r="G25" s="11" t="e">
        <f>#REF!+'Civil Debt Exceptions'!G17+'Civil Debt Exceptions'!G37</f>
        <v>#REF!</v>
      </c>
      <c r="I25" s="11" t="e">
        <f t="shared" si="1"/>
        <v>#REF!</v>
      </c>
    </row>
    <row r="26" spans="2:13" x14ac:dyDescent="0.2">
      <c r="B26" t="s">
        <v>67</v>
      </c>
      <c r="C26" s="11" t="e">
        <f>#REF!+'Civil Debt Exceptions'!C19+'Civil Debt Exceptions'!C39</f>
        <v>#REF!</v>
      </c>
      <c r="D26" s="11" t="e">
        <f>#REF!+'Civil Debt Exceptions'!D19+'Civil Debt Exceptions'!D39</f>
        <v>#REF!</v>
      </c>
      <c r="E26" s="11" t="e">
        <f>#REF!+'Civil Debt Exceptions'!E19+'Civil Debt Exceptions'!E39</f>
        <v>#REF!</v>
      </c>
      <c r="F26" s="11" t="e">
        <f>#REF!+'Civil Debt Exceptions'!F19+'Civil Debt Exceptions'!F39</f>
        <v>#REF!</v>
      </c>
      <c r="G26" s="11" t="e">
        <f>#REF!+'Civil Debt Exceptions'!G19+'Civil Debt Exceptions'!G39</f>
        <v>#REF!</v>
      </c>
      <c r="I26" s="11" t="e">
        <f t="shared" si="1"/>
        <v>#REF!</v>
      </c>
    </row>
    <row r="28" spans="2:13" x14ac:dyDescent="0.2">
      <c r="B28" t="s">
        <v>59</v>
      </c>
      <c r="C28" s="11" t="e">
        <f>C20-SUM(C21:C26)</f>
        <v>#REF!</v>
      </c>
      <c r="D28" s="11" t="e">
        <f>D20-SUM(D21:D26)</f>
        <v>#REF!</v>
      </c>
      <c r="E28" s="11" t="e">
        <f>E20-SUM(E21:E26)</f>
        <v>#REF!</v>
      </c>
      <c r="F28" s="11" t="e">
        <f>F20-SUM(F21:F26)</f>
        <v>#REF!</v>
      </c>
      <c r="G28" s="11" t="e">
        <f>G20-SUM(G21:G26)</f>
        <v>#REF!</v>
      </c>
      <c r="I28" s="11" t="e">
        <f>I20-SUM(I21:I26)</f>
        <v>#REF!</v>
      </c>
      <c r="K28" s="11" t="e">
        <f>I28+I14</f>
        <v>#REF!</v>
      </c>
      <c r="L28" s="11" t="e">
        <f>'All Debts by Type Summary'!C17</f>
        <v>#VALUE!</v>
      </c>
      <c r="M28" s="11" t="e">
        <f>K28-L28</f>
        <v>#REF!</v>
      </c>
    </row>
    <row r="29" spans="2:13" x14ac:dyDescent="0.2">
      <c r="B29" t="s">
        <v>15</v>
      </c>
      <c r="C29" s="11" t="e">
        <f>#REF!+'Civil Debt Exceptions'!C41+'Civil Debt Exceptions'!C21-C28</f>
        <v>#REF!</v>
      </c>
      <c r="D29" s="11" t="e">
        <f>#REF!+'Civil Debt Exceptions'!D41+'Civil Debt Exceptions'!D21-D28</f>
        <v>#REF!</v>
      </c>
      <c r="E29" s="11" t="e">
        <f>#REF!+'Civil Debt Exceptions'!E41+'Civil Debt Exceptions'!E21-E28</f>
        <v>#REF!</v>
      </c>
      <c r="F29" s="11" t="e">
        <f>#REF!+'Civil Debt Exceptions'!F41+'Civil Debt Exceptions'!F21-F28</f>
        <v>#REF!</v>
      </c>
      <c r="G29" s="11" t="e">
        <f>#REF!+'Civil Debt Exceptions'!G41+'Civil Debt Exceptions'!G21-G28</f>
        <v>#REF!</v>
      </c>
      <c r="I29" s="11" t="e">
        <f>#REF!+'Civil Debt Exceptions'!I41+'Civil Debt Exceptions'!I21-I28</f>
        <v>#REF!</v>
      </c>
    </row>
    <row r="31" spans="2:13" x14ac:dyDescent="0.2">
      <c r="B31" t="s">
        <v>68</v>
      </c>
    </row>
    <row r="33" spans="2:9" x14ac:dyDescent="0.2">
      <c r="B33" t="s">
        <v>69</v>
      </c>
    </row>
    <row r="35" spans="2:9" x14ac:dyDescent="0.2">
      <c r="B35" t="s">
        <v>50</v>
      </c>
      <c r="C35" s="11" t="s">
        <v>8</v>
      </c>
      <c r="D35" s="11" t="s">
        <v>9</v>
      </c>
      <c r="E35" s="11" t="s">
        <v>10</v>
      </c>
      <c r="F35" s="11" t="s">
        <v>11</v>
      </c>
      <c r="G35" s="11" t="s">
        <v>51</v>
      </c>
      <c r="I35" s="11" t="s">
        <v>5</v>
      </c>
    </row>
    <row r="36" spans="2:9" x14ac:dyDescent="0.2">
      <c r="B36" t="s">
        <v>70</v>
      </c>
      <c r="C36" s="11" t="e">
        <f>#REF!</f>
        <v>#REF!</v>
      </c>
      <c r="D36" s="11" t="e">
        <f>#REF!</f>
        <v>#REF!</v>
      </c>
      <c r="E36" s="11" t="e">
        <f>#REF!</f>
        <v>#REF!</v>
      </c>
      <c r="F36" s="11" t="e">
        <f>#REF!</f>
        <v>#REF!</v>
      </c>
      <c r="G36" s="11" t="e">
        <f>#REF!</f>
        <v>#REF!</v>
      </c>
      <c r="I36" s="11" t="e">
        <f>SUM(C36:G36)</f>
        <v>#REF!</v>
      </c>
    </row>
    <row r="37" spans="2:9" x14ac:dyDescent="0.2">
      <c r="B37" t="s">
        <v>71</v>
      </c>
      <c r="C37" s="11" t="e">
        <f>#REF!</f>
        <v>#REF!</v>
      </c>
      <c r="D37" s="11" t="e">
        <f>#REF!</f>
        <v>#REF!</v>
      </c>
      <c r="E37" s="11" t="e">
        <f>#REF!</f>
        <v>#REF!</v>
      </c>
      <c r="F37" s="11" t="e">
        <f>#REF!</f>
        <v>#REF!</v>
      </c>
      <c r="G37" s="11" t="e">
        <f>#REF!</f>
        <v>#REF!</v>
      </c>
      <c r="I37" s="11" t="e">
        <f>SUM(C37:G37)</f>
        <v>#REF!</v>
      </c>
    </row>
    <row r="38" spans="2:9" x14ac:dyDescent="0.2">
      <c r="B38" t="s">
        <v>72</v>
      </c>
      <c r="C38" s="11" t="e">
        <f>#REF!</f>
        <v>#REF!</v>
      </c>
      <c r="D38" s="11" t="e">
        <f>#REF!</f>
        <v>#REF!</v>
      </c>
      <c r="E38" s="11" t="e">
        <f>#REF!</f>
        <v>#REF!</v>
      </c>
      <c r="F38" s="11" t="e">
        <f>#REF!</f>
        <v>#REF!</v>
      </c>
      <c r="G38" s="11" t="e">
        <f>#REF!</f>
        <v>#REF!</v>
      </c>
      <c r="I38" s="11" t="e">
        <f>SUM(C38:G38)</f>
        <v>#REF!</v>
      </c>
    </row>
    <row r="39" spans="2:9" x14ac:dyDescent="0.2">
      <c r="B39" t="s">
        <v>73</v>
      </c>
      <c r="C39" s="11" t="e">
        <f>#REF!</f>
        <v>#REF!</v>
      </c>
      <c r="D39" s="11" t="e">
        <f>#REF!</f>
        <v>#REF!</v>
      </c>
      <c r="E39" s="11" t="e">
        <f>#REF!</f>
        <v>#REF!</v>
      </c>
      <c r="F39" s="11" t="e">
        <f>#REF!</f>
        <v>#REF!</v>
      </c>
      <c r="G39" s="11" t="e">
        <f>#REF!</f>
        <v>#REF!</v>
      </c>
      <c r="I39" s="11" t="e">
        <f>SUM(C39:G39)</f>
        <v>#REF!</v>
      </c>
    </row>
    <row r="40" spans="2:9" x14ac:dyDescent="0.2">
      <c r="B40" t="s">
        <v>74</v>
      </c>
      <c r="C40" s="11" t="e">
        <f>#REF!</f>
        <v>#REF!</v>
      </c>
      <c r="D40" s="11" t="e">
        <f>#REF!</f>
        <v>#REF!</v>
      </c>
      <c r="E40" s="11" t="e">
        <f>#REF!</f>
        <v>#REF!</v>
      </c>
      <c r="F40" s="11" t="e">
        <f>#REF!</f>
        <v>#REF!</v>
      </c>
      <c r="G40" s="11" t="e">
        <f>#REF!</f>
        <v>#REF!</v>
      </c>
      <c r="I40" s="11" t="e">
        <f>SUM(C40:G40)</f>
        <v>#REF!</v>
      </c>
    </row>
    <row r="42" spans="2:9" x14ac:dyDescent="0.2">
      <c r="B42" t="s">
        <v>75</v>
      </c>
      <c r="C42" s="11" t="e">
        <f>-C36-SUM(C37:C40)</f>
        <v>#REF!</v>
      </c>
      <c r="D42" s="11" t="e">
        <f>-D36-SUM(D37:D40)</f>
        <v>#REF!</v>
      </c>
      <c r="E42" s="11" t="e">
        <f>-E36-SUM(E37:E40)</f>
        <v>#REF!</v>
      </c>
      <c r="F42" s="11" t="e">
        <f>-F36-SUM(F37:F40)</f>
        <v>#REF!</v>
      </c>
      <c r="G42" s="11" t="e">
        <f>-G36-SUM(G37:G40)</f>
        <v>#REF!</v>
      </c>
      <c r="I42" s="11" t="e">
        <f>-I36-SUM(I37:I40)</f>
        <v>#REF!</v>
      </c>
    </row>
    <row r="43" spans="2:9" x14ac:dyDescent="0.2">
      <c r="B43" t="s">
        <v>15</v>
      </c>
      <c r="C43" s="11" t="e">
        <f>#REF!-C42</f>
        <v>#REF!</v>
      </c>
      <c r="D43" s="11" t="e">
        <f>#REF!-D42</f>
        <v>#REF!</v>
      </c>
      <c r="E43" s="11" t="e">
        <f>#REF!-E42</f>
        <v>#REF!</v>
      </c>
      <c r="F43" s="11" t="e">
        <f>#REF!-F42</f>
        <v>#REF!</v>
      </c>
      <c r="G43" s="11" t="e">
        <f>#REF!-G42</f>
        <v>#REF!</v>
      </c>
      <c r="I43" s="11" t="e">
        <f>#REF!-I42</f>
        <v>#REF!</v>
      </c>
    </row>
    <row r="45" spans="2:9" x14ac:dyDescent="0.2">
      <c r="B45" t="s">
        <v>76</v>
      </c>
    </row>
    <row r="47" spans="2:9" x14ac:dyDescent="0.2">
      <c r="B47" t="s">
        <v>50</v>
      </c>
      <c r="C47" s="11" t="s">
        <v>8</v>
      </c>
      <c r="D47" s="11" t="s">
        <v>9</v>
      </c>
      <c r="E47" s="11" t="s">
        <v>10</v>
      </c>
      <c r="F47" s="11" t="s">
        <v>11</v>
      </c>
      <c r="G47" s="11" t="s">
        <v>51</v>
      </c>
      <c r="I47" s="11" t="s">
        <v>5</v>
      </c>
    </row>
    <row r="48" spans="2:9" x14ac:dyDescent="0.2">
      <c r="B48" t="s">
        <v>77</v>
      </c>
      <c r="C48" s="11" t="e">
        <f>'Civil Debt Exceptions'!C9+'Civil Debt Exceptions'!C29</f>
        <v>#REF!</v>
      </c>
      <c r="D48" s="11" t="e">
        <f>'Civil Debt Exceptions'!D9+'Civil Debt Exceptions'!D29</f>
        <v>#REF!</v>
      </c>
      <c r="E48" s="11" t="e">
        <f>'Civil Debt Exceptions'!E9+'Civil Debt Exceptions'!E29</f>
        <v>#REF!</v>
      </c>
      <c r="F48" s="11" t="e">
        <f>'Civil Debt Exceptions'!F9+'Civil Debt Exceptions'!F29</f>
        <v>#REF!</v>
      </c>
      <c r="G48" s="11" t="e">
        <f>'Civil Debt Exceptions'!G9+'Civil Debt Exceptions'!G29</f>
        <v>#REF!</v>
      </c>
      <c r="I48" s="11" t="e">
        <f>SUM(C48:G48)</f>
        <v>#REF!</v>
      </c>
    </row>
    <row r="49" spans="2:9" x14ac:dyDescent="0.2">
      <c r="B49" t="s">
        <v>78</v>
      </c>
      <c r="C49" s="11" t="e">
        <f>'Civil Debt Exceptions'!C12+'Civil Debt Exceptions'!C32</f>
        <v>#REF!</v>
      </c>
      <c r="D49" s="11" t="e">
        <f>'Civil Debt Exceptions'!D12+'Civil Debt Exceptions'!D32</f>
        <v>#REF!</v>
      </c>
      <c r="E49" s="11" t="e">
        <f>'Civil Debt Exceptions'!E12+'Civil Debt Exceptions'!E32</f>
        <v>#REF!</v>
      </c>
      <c r="F49" s="11" t="e">
        <f>'Civil Debt Exceptions'!F12+'Civil Debt Exceptions'!F32</f>
        <v>#REF!</v>
      </c>
      <c r="G49" s="11" t="e">
        <f>'Civil Debt Exceptions'!G12+'Civil Debt Exceptions'!G32</f>
        <v>#REF!</v>
      </c>
      <c r="I49" s="11" t="e">
        <f>SUM(C49:G49)</f>
        <v>#REF!</v>
      </c>
    </row>
    <row r="50" spans="2:9" x14ac:dyDescent="0.2">
      <c r="B50" t="s">
        <v>79</v>
      </c>
      <c r="C50" s="11" t="e">
        <f>+'Civil Debt Exceptions'!C14+'Civil Debt Exceptions'!C34</f>
        <v>#REF!</v>
      </c>
      <c r="D50" s="11" t="e">
        <f>+'Civil Debt Exceptions'!D14+'Civil Debt Exceptions'!D34</f>
        <v>#REF!</v>
      </c>
      <c r="E50" s="11" t="e">
        <f>+'Civil Debt Exceptions'!E14+'Civil Debt Exceptions'!E34</f>
        <v>#REF!</v>
      </c>
      <c r="F50" s="11" t="e">
        <f>+'Civil Debt Exceptions'!F14+'Civil Debt Exceptions'!F34</f>
        <v>#REF!</v>
      </c>
      <c r="G50" s="11" t="e">
        <f>+'Civil Debt Exceptions'!G14+'Civil Debt Exceptions'!G34</f>
        <v>#REF!</v>
      </c>
      <c r="I50" s="11" t="e">
        <f>SUM(C50:G50)</f>
        <v>#REF!</v>
      </c>
    </row>
    <row r="51" spans="2:9" x14ac:dyDescent="0.2">
      <c r="B51" t="s">
        <v>80</v>
      </c>
      <c r="C51" s="11" t="e">
        <f>+'Civil Debt Exceptions'!C16+'Civil Debt Exceptions'!C36</f>
        <v>#REF!</v>
      </c>
      <c r="D51" s="11" t="e">
        <f>+'Civil Debt Exceptions'!D16+'Civil Debt Exceptions'!D36</f>
        <v>#REF!</v>
      </c>
      <c r="E51" s="11" t="e">
        <f>+'Civil Debt Exceptions'!E16+'Civil Debt Exceptions'!E36</f>
        <v>#REF!</v>
      </c>
      <c r="F51" s="11" t="e">
        <f>+'Civil Debt Exceptions'!F16+'Civil Debt Exceptions'!F36</f>
        <v>#REF!</v>
      </c>
      <c r="G51" s="11" t="e">
        <f>+'Civil Debt Exceptions'!G16+'Civil Debt Exceptions'!G36</f>
        <v>#REF!</v>
      </c>
      <c r="I51" s="11" t="e">
        <f>SUM(C51:G51)</f>
        <v>#REF!</v>
      </c>
    </row>
    <row r="52" spans="2:9" x14ac:dyDescent="0.2">
      <c r="B52" t="s">
        <v>81</v>
      </c>
      <c r="C52" s="11" t="e">
        <f>+'Civil Debt Exceptions'!C18+'Civil Debt Exceptions'!C38</f>
        <v>#REF!</v>
      </c>
      <c r="D52" s="11" t="e">
        <f>+'Civil Debt Exceptions'!D18+'Civil Debt Exceptions'!D38</f>
        <v>#REF!</v>
      </c>
      <c r="E52" s="11" t="e">
        <f>+'Civil Debt Exceptions'!E18+'Civil Debt Exceptions'!E38</f>
        <v>#REF!</v>
      </c>
      <c r="F52" s="11" t="e">
        <f>+'Civil Debt Exceptions'!F18+'Civil Debt Exceptions'!F38</f>
        <v>#REF!</v>
      </c>
      <c r="G52" s="11" t="e">
        <f>+'Civil Debt Exceptions'!G18+'Civil Debt Exceptions'!G38</f>
        <v>#REF!</v>
      </c>
      <c r="I52" s="11" t="e">
        <f>SUM(C52:G52)</f>
        <v>#REF!</v>
      </c>
    </row>
    <row r="54" spans="2:9" x14ac:dyDescent="0.2">
      <c r="B54" t="s">
        <v>75</v>
      </c>
      <c r="C54" s="11" t="e">
        <f>-C48-SUM(C49:C52)</f>
        <v>#REF!</v>
      </c>
      <c r="D54" s="11" t="e">
        <f>-D48-SUM(D49:D52)</f>
        <v>#REF!</v>
      </c>
      <c r="E54" s="11" t="e">
        <f>-E48-SUM(E49:E52)</f>
        <v>#REF!</v>
      </c>
      <c r="F54" s="11" t="e">
        <f>-F48-SUM(F49:F52)</f>
        <v>#REF!</v>
      </c>
      <c r="G54" s="11" t="e">
        <f>-G48-SUM(G49:G52)</f>
        <v>#REF!</v>
      </c>
      <c r="I54" s="11" t="e">
        <f>-I48-SUM(I49:I52)</f>
        <v>#REF!</v>
      </c>
    </row>
    <row r="55" spans="2:9" x14ac:dyDescent="0.2">
      <c r="B55" t="s">
        <v>15</v>
      </c>
      <c r="C55" s="11" t="e">
        <f>'Civil Debt Exceptions'!C23+'Civil Debt Exceptions'!C43-C54</f>
        <v>#REF!</v>
      </c>
      <c r="D55" s="11" t="e">
        <f>'Civil Debt Exceptions'!D23+'Civil Debt Exceptions'!D43-D54</f>
        <v>#REF!</v>
      </c>
      <c r="E55" s="11" t="e">
        <f>'Civil Debt Exceptions'!E23+'Civil Debt Exceptions'!E43-E54</f>
        <v>#REF!</v>
      </c>
      <c r="F55" s="11" t="e">
        <f>'Civil Debt Exceptions'!F23+'Civil Debt Exceptions'!F43-F54</f>
        <v>#REF!</v>
      </c>
      <c r="G55" s="11" t="e">
        <f>'Civil Debt Exceptions'!G23+'Civil Debt Exceptions'!G43-G54</f>
        <v>#REF!</v>
      </c>
      <c r="I55" s="11" t="e">
        <f>'Civil Debt Exceptions'!I23+'Civil Debt Exceptions'!I43-I54</f>
        <v>#REF!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B1:Q43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5.33203125" customWidth="1"/>
    <col min="2" max="2" width="34.6640625" bestFit="1" customWidth="1"/>
    <col min="3" max="3" width="20.6640625" style="11" bestFit="1" customWidth="1"/>
    <col min="4" max="4" width="18" style="11" bestFit="1" customWidth="1"/>
    <col min="5" max="5" width="20.6640625" style="11" bestFit="1" customWidth="1"/>
    <col min="6" max="6" width="23.6640625" style="11" bestFit="1" customWidth="1"/>
    <col min="7" max="7" width="21.83203125" style="11" bestFit="1" customWidth="1"/>
    <col min="8" max="8" width="4" style="11" customWidth="1"/>
    <col min="9" max="9" width="17" style="11" bestFit="1" customWidth="1"/>
    <col min="10" max="10" width="9.1640625" style="11" customWidth="1"/>
    <col min="11" max="14" width="15.83203125" style="11" bestFit="1" customWidth="1"/>
    <col min="15" max="15" width="17" style="11" bestFit="1" customWidth="1"/>
    <col min="16" max="16" width="9.1640625" style="11" customWidth="1"/>
    <col min="17" max="17" width="17" style="11" bestFit="1" customWidth="1"/>
  </cols>
  <sheetData>
    <row r="1" spans="2:17" x14ac:dyDescent="0.2">
      <c r="B1" t="s">
        <v>82</v>
      </c>
    </row>
    <row r="3" spans="2:17" x14ac:dyDescent="0.2">
      <c r="B3" t="s">
        <v>50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I3" s="11" t="s">
        <v>5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51</v>
      </c>
      <c r="Q3" s="11" t="s">
        <v>83</v>
      </c>
    </row>
    <row r="4" spans="2:17" x14ac:dyDescent="0.2">
      <c r="B4" t="s">
        <v>84</v>
      </c>
      <c r="C4" s="11" t="e">
        <f>SUMIF([2]CCMS_DEBT_SUMMARY_C_EXP!$A:$A,$C$3,[2]CCMS_DEBT_SUMMARY_C_EXP!$G:$G)</f>
        <v>#VALUE!</v>
      </c>
      <c r="D4" s="11" t="e">
        <f>SUMIF([2]CCMS_DEBT_SUMMARY_C_EXP!$A:$A,$D$3,[2]CCMS_DEBT_SUMMARY_C_EXP!$G:$G)</f>
        <v>#VALUE!</v>
      </c>
      <c r="E4" s="11" t="e">
        <f>SUMIF([2]CCMS_DEBT_SUMMARY_C_EXP!$A:$A,$E$3,[2]CCMS_DEBT_SUMMARY_C_EXP!$G:$G)</f>
        <v>#VALUE!</v>
      </c>
      <c r="F4" s="11" t="e">
        <f>SUMIF([2]CCMS_DEBT_SUMMARY_C_EXP!$A:$A,$F$3,[2]CCMS_DEBT_SUMMARY_C_EXP!$G:$G)</f>
        <v>#VALUE!</v>
      </c>
      <c r="G4" s="11" t="e">
        <f>SUMIF([2]CCMS_DEBT_SUMMARY_C_EXP!$A:$A,$G$3,[2]CCMS_DEBT_SUMMARY_C_EXP!$G:$G)</f>
        <v>#VALUE!</v>
      </c>
      <c r="I4" s="11" t="e">
        <f t="shared" ref="I4:I15" si="0">SUM(C4:H4)</f>
        <v>#VALUE!</v>
      </c>
      <c r="K4" s="11" t="e">
        <f>SUMIF([2]CCMS_DEBT_SUMMARY_C_EXP!$C:$C,K$3,[2]CCMS_DEBT_SUMMARY_C_EXP!$G:$G)</f>
        <v>#VALUE!</v>
      </c>
      <c r="L4" s="11" t="e">
        <f>SUMIF([2]CCMS_DEBT_SUMMARY_C_EXP!$C:$C,L$3,[2]CCMS_DEBT_SUMMARY_C_EXP!$G:$G)</f>
        <v>#VALUE!</v>
      </c>
      <c r="M4" s="11" t="e">
        <f>SUMIF([2]CCMS_DEBT_SUMMARY_C_EXP!$C:$C,M$3,[2]CCMS_DEBT_SUMMARY_C_EXP!$G:$G)</f>
        <v>#VALUE!</v>
      </c>
      <c r="N4" s="11" t="e">
        <f>SUMIF([2]CCMS_DEBT_SUMMARY_C_EXP!$C:$C,N$3,[2]CCMS_DEBT_SUMMARY_C_EXP!$G:$G)</f>
        <v>#VALUE!</v>
      </c>
      <c r="O4" s="11" t="e">
        <f>SUMIF([2]CCMS_DEBT_SUMMARY_C_EXP!$C:$C,O$3,[2]CCMS_DEBT_SUMMARY_C_EXP!$G:$G)</f>
        <v>#VALUE!</v>
      </c>
      <c r="Q4" s="11" t="e">
        <f t="shared" ref="Q4:Q15" si="1">SUM(K4:P4)</f>
        <v>#VALUE!</v>
      </c>
    </row>
    <row r="5" spans="2:17" x14ac:dyDescent="0.2">
      <c r="B5" t="s">
        <v>85</v>
      </c>
      <c r="C5" s="11" t="e">
        <f>SUMIF([2]CCMS_DEBT_SUMMARY_C_EXP!$A:$A,$C$3,[2]CCMS_DEBT_SUMMARY_C_EXP!$N:$N)*-1</f>
        <v>#VALUE!</v>
      </c>
      <c r="D5" s="11" t="e">
        <f>SUMIF([2]CCMS_DEBT_SUMMARY_C_EXP!$A:$A,$D$3,[2]CCMS_DEBT_SUMMARY_C_EXP!$N:$N)*-1</f>
        <v>#VALUE!</v>
      </c>
      <c r="E5" s="11" t="e">
        <f>SUMIF([2]CCMS_DEBT_SUMMARY_C_EXP!$A:$A,$E$3,[2]CCMS_DEBT_SUMMARY_C_EXP!$N:$N)*-1</f>
        <v>#VALUE!</v>
      </c>
      <c r="F5" s="11" t="e">
        <f>SUMIF([2]CCMS_DEBT_SUMMARY_C_EXP!$A:$A,$F$3,[2]CCMS_DEBT_SUMMARY_C_EXP!$N:$N)*-1</f>
        <v>#VALUE!</v>
      </c>
      <c r="G5" s="11" t="e">
        <f>SUMIF([2]CCMS_DEBT_SUMMARY_C_EXP!$A:$A,$G$3,[2]CCMS_DEBT_SUMMARY_C_EXP!$N:$N)*-1</f>
        <v>#VALUE!</v>
      </c>
      <c r="I5" s="11" t="e">
        <f t="shared" si="0"/>
        <v>#VALUE!</v>
      </c>
      <c r="K5" s="11" t="e">
        <f>SUMIF([2]CCMS_DEBT_SUMMARY_C_EXP!$C:$C,K$3,[2]CCMS_DEBT_SUMMARY_C_EXP!$N:$N)*-1</f>
        <v>#VALUE!</v>
      </c>
      <c r="L5" s="11" t="e">
        <f>SUMIF([2]CCMS_DEBT_SUMMARY_C_EXP!$C:$C,L$3,[2]CCMS_DEBT_SUMMARY_C_EXP!$N:$N)*-1</f>
        <v>#VALUE!</v>
      </c>
      <c r="M5" s="11" t="e">
        <f>SUMIF([2]CCMS_DEBT_SUMMARY_C_EXP!$C:$C,M$3,[2]CCMS_DEBT_SUMMARY_C_EXP!$N:$N)*-1</f>
        <v>#VALUE!</v>
      </c>
      <c r="N5" s="11" t="e">
        <f>SUMIF([2]CCMS_DEBT_SUMMARY_C_EXP!$C:$C,N$3,[2]CCMS_DEBT_SUMMARY_C_EXP!$N:$N)*-1</f>
        <v>#VALUE!</v>
      </c>
      <c r="O5" s="11" t="e">
        <f>SUMIF([2]CCMS_DEBT_SUMMARY_C_EXP!$C:$C,O$3,[2]CCMS_DEBT_SUMMARY_C_EXP!$N:$N)*-1</f>
        <v>#VALUE!</v>
      </c>
      <c r="Q5" s="11" t="e">
        <f t="shared" si="1"/>
        <v>#VALUE!</v>
      </c>
    </row>
    <row r="6" spans="2:17" x14ac:dyDescent="0.2">
      <c r="B6" t="s">
        <v>86</v>
      </c>
      <c r="C6" s="11" t="e">
        <f>SUMIF([2]CCMS_DEBT_SUMMARY_C_EXP!$A:$A,C$3,[2]CCMS_DEBT_SUMMARY_C_EXP!$L:$L)*-1</f>
        <v>#VALUE!</v>
      </c>
      <c r="D6" s="11" t="e">
        <f>SUMIF([2]CCMS_DEBT_SUMMARY_C_EXP!$A:$A,D$3,[2]CCMS_DEBT_SUMMARY_C_EXP!$L:$KL)*-1</f>
        <v>#VALUE!</v>
      </c>
      <c r="E6" s="11" t="e">
        <f>SUMIF([2]CCMS_DEBT_SUMMARY_C_EXP!$A:$A,E$3,[2]CCMS_DEBT_SUMMARY_C_EXP!$L:$KL)*-1</f>
        <v>#VALUE!</v>
      </c>
      <c r="F6" s="11" t="e">
        <f>SUMIF([2]CCMS_DEBT_SUMMARY_C_EXP!$A:$A,F$3,[2]CCMS_DEBT_SUMMARY_C_EXP!$L:$KL)*-1</f>
        <v>#VALUE!</v>
      </c>
      <c r="G6" s="11" t="e">
        <f>SUMIF([2]CCMS_DEBT_SUMMARY_C_EXP!$A:$A,G$3,[2]CCMS_DEBT_SUMMARY_C_EXP!$L:$KL)*-1</f>
        <v>#VALUE!</v>
      </c>
      <c r="I6" s="11" t="e">
        <f t="shared" si="0"/>
        <v>#VALUE!</v>
      </c>
      <c r="K6" s="11" t="e">
        <f>SUMIF([2]CCMS_DEBT_SUMMARY_C_EXP!$C:$C,K$3,[2]CCMS_DEBT_SUMMARY_C_EXP!$L:$L)*-1</f>
        <v>#VALUE!</v>
      </c>
      <c r="L6" s="11" t="e">
        <f>SUMIF([2]CCMS_DEBT_SUMMARY_C_EXP!$C:$C,L$3,[2]CCMS_DEBT_SUMMARY_C_EXP!$L:$L)*-1</f>
        <v>#VALUE!</v>
      </c>
      <c r="M6" s="11" t="e">
        <f>SUMIF([2]CCMS_DEBT_SUMMARY_C_EXP!$C:$C,M$3,[2]CCMS_DEBT_SUMMARY_C_EXP!$L:$L)*-1</f>
        <v>#VALUE!</v>
      </c>
      <c r="N6" s="11" t="e">
        <f>SUMIF([2]CCMS_DEBT_SUMMARY_C_EXP!$C:$C,N$3,[2]CCMS_DEBT_SUMMARY_C_EXP!$L:$L)*-1</f>
        <v>#VALUE!</v>
      </c>
      <c r="O6" s="11" t="e">
        <f>SUMIF([2]CCMS_DEBT_SUMMARY_C_EXP!$C:$C,O$3,[2]CCMS_DEBT_SUMMARY_C_EXP!$L:$L)*-1</f>
        <v>#VALUE!</v>
      </c>
      <c r="Q6" s="11" t="e">
        <f t="shared" si="1"/>
        <v>#VALUE!</v>
      </c>
    </row>
    <row r="7" spans="2:17" x14ac:dyDescent="0.2">
      <c r="B7" t="s">
        <v>87</v>
      </c>
      <c r="C7" s="11" t="e">
        <f>SUMIF([2]CCMS_DEBT_SUMMARY_C_EXP!$A:$A,C$3,[2]CCMS_DEBT_SUMMARY_C_EXP!$M:$M)*-1</f>
        <v>#VALUE!</v>
      </c>
      <c r="D7" s="11" t="e">
        <f>SUMIF([2]CCMS_DEBT_SUMMARY_C_EXP!$A:$A,D$3,[2]CCMS_DEBT_SUMMARY_C_EXP!$M:$M)*-1</f>
        <v>#VALUE!</v>
      </c>
      <c r="E7" s="11" t="e">
        <f>SUMIF([2]CCMS_DEBT_SUMMARY_C_EXP!$A:$A,E$3,[2]CCMS_DEBT_SUMMARY_C_EXP!$M:$M)*-1</f>
        <v>#VALUE!</v>
      </c>
      <c r="F7" s="11" t="e">
        <f>SUMIF([2]CCMS_DEBT_SUMMARY_C_EXP!$A:$A,F$3,[2]CCMS_DEBT_SUMMARY_C_EXP!$M:$M)*-1</f>
        <v>#VALUE!</v>
      </c>
      <c r="G7" s="11" t="e">
        <f>SUMIF([2]CCMS_DEBT_SUMMARY_C_EXP!$A:$A,G$3,[2]CCMS_DEBT_SUMMARY_C_EXP!$M:$M)*-1</f>
        <v>#VALUE!</v>
      </c>
      <c r="I7" s="11" t="e">
        <f t="shared" si="0"/>
        <v>#VALUE!</v>
      </c>
      <c r="K7" s="11" t="e">
        <f>SUMIF([2]CCMS_DEBT_SUMMARY_C_EXP!$C:$C,K$3,[2]CCMS_DEBT_SUMMARY_C_EXP!$M:$M)*-1</f>
        <v>#VALUE!</v>
      </c>
      <c r="L7" s="11" t="e">
        <f>SUMIF([2]CCMS_DEBT_SUMMARY_C_EXP!$C:$C,L$3,[2]CCMS_DEBT_SUMMARY_C_EXP!$M:$M)*-1</f>
        <v>#VALUE!</v>
      </c>
      <c r="M7" s="11" t="e">
        <f>SUMIF([2]CCMS_DEBT_SUMMARY_C_EXP!$C:$C,M$3,[2]CCMS_DEBT_SUMMARY_C_EXP!$M:$M)*-1</f>
        <v>#VALUE!</v>
      </c>
      <c r="N7" s="11" t="e">
        <f>SUMIF([2]CCMS_DEBT_SUMMARY_C_EXP!$C:$C,N$3,[2]CCMS_DEBT_SUMMARY_C_EXP!$M:$M)*-1</f>
        <v>#VALUE!</v>
      </c>
      <c r="O7" s="11" t="e">
        <f>SUMIF([2]CCMS_DEBT_SUMMARY_C_EXP!$C:$C,O$3,[2]CCMS_DEBT_SUMMARY_C_EXP!$M:$M)*-1</f>
        <v>#VALUE!</v>
      </c>
      <c r="Q7" s="11" t="e">
        <f t="shared" si="1"/>
        <v>#VALUE!</v>
      </c>
    </row>
    <row r="8" spans="2:17" x14ac:dyDescent="0.2">
      <c r="B8" t="s">
        <v>88</v>
      </c>
      <c r="C8" s="11" t="e">
        <f>SUMIF([2]CCMS_DEBT_SUMMARY_C_EXP!$A:$A,$C$3,[2]CCMS_DEBT_SUMMARY_C_EXP!$R:$R)*-1</f>
        <v>#VALUE!</v>
      </c>
      <c r="D8" s="11" t="e">
        <f>SUMIF([2]CCMS_DEBT_SUMMARY_C_EXP!$A:$A,$D$3,[2]CCMS_DEBT_SUMMARY_C_EXP!$R:$R)*-1</f>
        <v>#VALUE!</v>
      </c>
      <c r="E8" s="11" t="e">
        <f>SUMIF([2]CCMS_DEBT_SUMMARY_C_EXP!$A:$A,$E$3,[2]CCMS_DEBT_SUMMARY_C_EXP!$R:$R)*-1</f>
        <v>#VALUE!</v>
      </c>
      <c r="F8" s="11" t="e">
        <f>SUMIF([2]CCMS_DEBT_SUMMARY_C_EXP!$A:$A,$F$3,[2]CCMS_DEBT_SUMMARY_C_EXP!$R:$R)*-1</f>
        <v>#VALUE!</v>
      </c>
      <c r="G8" s="11" t="e">
        <f>SUMIF([2]CCMS_DEBT_SUMMARY_C_EXP!$A:$A,$G$3,[2]CCMS_DEBT_SUMMARY_C_EXP!$R:$R)*-1</f>
        <v>#VALUE!</v>
      </c>
      <c r="I8" s="11" t="e">
        <f t="shared" si="0"/>
        <v>#VALUE!</v>
      </c>
      <c r="K8" s="11" t="e">
        <f>SUMIF([2]CCMS_DEBT_SUMMARY_C_EXP!$C:$C,K$3,[2]CCMS_DEBT_SUMMARY_C_EXP!$R:$R)*-1</f>
        <v>#VALUE!</v>
      </c>
      <c r="L8" s="11" t="e">
        <f>SUMIF([2]CCMS_DEBT_SUMMARY_C_EXP!$C:$C,L$3,[2]CCMS_DEBT_SUMMARY_C_EXP!$R:$R)*-1</f>
        <v>#VALUE!</v>
      </c>
      <c r="M8" s="11" t="e">
        <f>SUMIF([2]CCMS_DEBT_SUMMARY_C_EXP!$C:$C,M$3,[2]CCMS_DEBT_SUMMARY_C_EXP!$R:$R)*-1</f>
        <v>#VALUE!</v>
      </c>
      <c r="N8" s="11" t="e">
        <f>SUMIF([2]CCMS_DEBT_SUMMARY_C_EXP!$C:$C,N$3,[2]CCMS_DEBT_SUMMARY_C_EXP!$R:$R)*-1</f>
        <v>#VALUE!</v>
      </c>
      <c r="O8" s="11" t="e">
        <f>SUMIF([2]CCMS_DEBT_SUMMARY_C_EXP!$C:$C,O$3,[2]CCMS_DEBT_SUMMARY_C_EXP!$R:$R)*-1</f>
        <v>#VALUE!</v>
      </c>
      <c r="Q8" s="11" t="e">
        <f t="shared" si="1"/>
        <v>#VALUE!</v>
      </c>
    </row>
    <row r="9" spans="2:17" x14ac:dyDescent="0.2">
      <c r="B9" t="s">
        <v>89</v>
      </c>
      <c r="C9" s="11" t="e">
        <f>SUMIF([2]CCMS_DEBT_SUMMARY_C_EXP!$A:$A,$C$3,[2]CCMS_DEBT_SUMMARY_C_EXP!$Q:$Q)*-1</f>
        <v>#VALUE!</v>
      </c>
      <c r="D9" s="11" t="e">
        <f>SUMIF([2]CCMS_DEBT_SUMMARY_C_EXP!$A:$A,$D$3,[2]CCMS_DEBT_SUMMARY_C_EXP!$Q:$Q)*-1</f>
        <v>#VALUE!</v>
      </c>
      <c r="E9" s="11" t="e">
        <f>SUMIF([2]CCMS_DEBT_SUMMARY_C_EXP!$A:$A,$E$3,[2]CCMS_DEBT_SUMMARY_C_EXP!$Q:$Q)*-1</f>
        <v>#VALUE!</v>
      </c>
      <c r="F9" s="11" t="e">
        <f>SUMIF([2]CCMS_DEBT_SUMMARY_C_EXP!$A:$A,$F$3,[2]CCMS_DEBT_SUMMARY_C_EXP!$Q:$Q)*-1</f>
        <v>#VALUE!</v>
      </c>
      <c r="G9" s="11" t="e">
        <f>SUMIF([2]CCMS_DEBT_SUMMARY_C_EXP!$A:$A,$G$3,[2]CCMS_DEBT_SUMMARY_C_EXP!$Q:$Q)*-1</f>
        <v>#VALUE!</v>
      </c>
      <c r="I9" s="11" t="e">
        <f t="shared" si="0"/>
        <v>#VALUE!</v>
      </c>
      <c r="K9" s="11" t="e">
        <f>SUMIF([2]CCMS_DEBT_SUMMARY_C_EXP!$C:$C,K$3,[2]CCMS_DEBT_SUMMARY_C_EXP!$Q:$Q)*-1</f>
        <v>#VALUE!</v>
      </c>
      <c r="L9" s="11" t="e">
        <f>SUMIF([2]CCMS_DEBT_SUMMARY_C_EXP!$C:$C,L$3,[2]CCMS_DEBT_SUMMARY_C_EXP!$Q:$Q)*-1</f>
        <v>#VALUE!</v>
      </c>
      <c r="M9" s="11" t="e">
        <f>SUMIF([2]CCMS_DEBT_SUMMARY_C_EXP!$C:$C,M$3,[2]CCMS_DEBT_SUMMARY_C_EXP!$Q:$Q)*-1</f>
        <v>#VALUE!</v>
      </c>
      <c r="N9" s="11" t="e">
        <f>SUMIF([2]CCMS_DEBT_SUMMARY_C_EXP!$C:$C,N$3,[2]CCMS_DEBT_SUMMARY_C_EXP!$Q:$Q)*-1</f>
        <v>#VALUE!</v>
      </c>
      <c r="O9" s="11" t="e">
        <f>SUMIF([2]CCMS_DEBT_SUMMARY_C_EXP!$C:$C,O$3,[2]CCMS_DEBT_SUMMARY_C_EXP!$Q:$Q)*-1</f>
        <v>#VALUE!</v>
      </c>
      <c r="Q9" s="11" t="e">
        <f t="shared" si="1"/>
        <v>#VALUE!</v>
      </c>
    </row>
    <row r="10" spans="2:17" x14ac:dyDescent="0.2">
      <c r="B10" t="s">
        <v>90</v>
      </c>
      <c r="C10" s="11" t="e">
        <f>SUMIF([2]CCMS_DEBT_SUMMARY_C_EXP!$A:$A,$C$3,[2]CCMS_DEBT_SUMMARY_C_EXP!$P:$P)*-1</f>
        <v>#VALUE!</v>
      </c>
      <c r="D10" s="11" t="e">
        <f>SUMIF([2]CCMS_DEBT_SUMMARY_C_EXP!$A:$A,$D$3,[2]CCMS_DEBT_SUMMARY_C_EXP!$P:$P)*-1</f>
        <v>#VALUE!</v>
      </c>
      <c r="E10" s="11" t="e">
        <f>SUMIF([2]CCMS_DEBT_SUMMARY_C_EXP!$A:$A,$E$3,[2]CCMS_DEBT_SUMMARY_C_EXP!$P:$P)*-1</f>
        <v>#VALUE!</v>
      </c>
      <c r="F10" s="11" t="e">
        <f>SUMIF([2]CCMS_DEBT_SUMMARY_C_EXP!$A:$A,$F$3,[2]CCMS_DEBT_SUMMARY_C_EXP!$P:$P)*-1</f>
        <v>#VALUE!</v>
      </c>
      <c r="G10" s="11" t="e">
        <f>SUMIF([2]CCMS_DEBT_SUMMARY_C_EXP!$A:$A,$G$3,[2]CCMS_DEBT_SUMMARY_C_EXP!$P:$P)*-1</f>
        <v>#VALUE!</v>
      </c>
      <c r="I10" s="11" t="e">
        <f t="shared" si="0"/>
        <v>#VALUE!</v>
      </c>
      <c r="K10" s="11" t="e">
        <f>SUMIF([2]CCMS_DEBT_SUMMARY_C_EXP!$C:$C,K$3,[2]CCMS_DEBT_SUMMARY_C_EXP!$P:$P)*-1</f>
        <v>#VALUE!</v>
      </c>
      <c r="L10" s="11" t="e">
        <f>SUMIF([2]CCMS_DEBT_SUMMARY_C_EXP!$C:$C,L$3,[2]CCMS_DEBT_SUMMARY_C_EXP!$P:$P)*-1</f>
        <v>#VALUE!</v>
      </c>
      <c r="M10" s="11" t="e">
        <f>SUMIF([2]CCMS_DEBT_SUMMARY_C_EXP!$C:$C,M$3,[2]CCMS_DEBT_SUMMARY_C_EXP!$P:$P)*-1</f>
        <v>#VALUE!</v>
      </c>
      <c r="N10" s="11" t="e">
        <f>SUMIF([2]CCMS_DEBT_SUMMARY_C_EXP!$C:$C,N$3,[2]CCMS_DEBT_SUMMARY_C_EXP!$P:$P)*-1</f>
        <v>#VALUE!</v>
      </c>
      <c r="O10" s="11" t="e">
        <f>SUMIF([2]CCMS_DEBT_SUMMARY_C_EXP!$C:$C,O$3,[2]CCMS_DEBT_SUMMARY_C_EXP!$P:$P)*-1</f>
        <v>#VALUE!</v>
      </c>
      <c r="Q10" s="11" t="e">
        <f t="shared" si="1"/>
        <v>#VALUE!</v>
      </c>
    </row>
    <row r="11" spans="2:17" x14ac:dyDescent="0.2">
      <c r="B11" t="s">
        <v>91</v>
      </c>
      <c r="C11" s="11" t="e">
        <f>SUMIF([2]CCMS_DEBT_SUMMARY_C_EXP!$A:$A,$C$3,[2]CCMS_DEBT_SUMMARY_C_EXP!$O:$O)*-1</f>
        <v>#VALUE!</v>
      </c>
      <c r="D11" s="11" t="e">
        <f>SUMIF([2]CCMS_DEBT_SUMMARY_C_EXP!$A:$A,$D$3,[2]CCMS_DEBT_SUMMARY_C_EXP!$O:$O)*-1</f>
        <v>#VALUE!</v>
      </c>
      <c r="E11" s="11" t="e">
        <f>SUMIF([2]CCMS_DEBT_SUMMARY_C_EXP!$A:$A,$E$3,[2]CCMS_DEBT_SUMMARY_C_EXP!$O:$O)*-1</f>
        <v>#VALUE!</v>
      </c>
      <c r="F11" s="11" t="e">
        <f>SUMIF([2]CCMS_DEBT_SUMMARY_C_EXP!$A:$A,$F$3,[2]CCMS_DEBT_SUMMARY_C_EXP!$O:$O)*-1</f>
        <v>#VALUE!</v>
      </c>
      <c r="G11" s="11" t="e">
        <f>SUMIF([2]CCMS_DEBT_SUMMARY_C_EXP!$A:$A,$G$3,[2]CCMS_DEBT_SUMMARY_C_EXP!$O:$O)*-1</f>
        <v>#VALUE!</v>
      </c>
      <c r="I11" s="11" t="e">
        <f t="shared" si="0"/>
        <v>#VALUE!</v>
      </c>
      <c r="K11" s="11" t="e">
        <f>SUMIF([2]CCMS_DEBT_SUMMARY_C_EXP!$C:$C,K$3,[2]CCMS_DEBT_SUMMARY_C_EXP!$O:$O)*-1</f>
        <v>#VALUE!</v>
      </c>
      <c r="L11" s="11" t="e">
        <f>SUMIF([2]CCMS_DEBT_SUMMARY_C_EXP!$C:$C,L$3,[2]CCMS_DEBT_SUMMARY_C_EXP!$O:$O)*-1</f>
        <v>#VALUE!</v>
      </c>
      <c r="M11" s="11" t="e">
        <f>SUMIF([2]CCMS_DEBT_SUMMARY_C_EXP!$C:$C,M$3,[2]CCMS_DEBT_SUMMARY_C_EXP!$O:$O)*-1</f>
        <v>#VALUE!</v>
      </c>
      <c r="N11" s="11" t="e">
        <f>SUMIF([2]CCMS_DEBT_SUMMARY_C_EXP!$C:$C,N$3,[2]CCMS_DEBT_SUMMARY_C_EXP!$O:$O)*-1</f>
        <v>#VALUE!</v>
      </c>
      <c r="O11" s="11" t="e">
        <f>SUMIF([2]CCMS_DEBT_SUMMARY_C_EXP!$C:$C,O$3,[2]CCMS_DEBT_SUMMARY_C_EXP!$O:$O)*-1</f>
        <v>#VALUE!</v>
      </c>
      <c r="Q11" s="11" t="e">
        <f t="shared" si="1"/>
        <v>#VALUE!</v>
      </c>
    </row>
    <row r="12" spans="2:17" x14ac:dyDescent="0.2">
      <c r="B12" t="s">
        <v>92</v>
      </c>
      <c r="C12" s="11" t="e">
        <f>SUMIF([2]CCMS_DEBT_SUMMARY_C_EXP!$A:$A,$C$3,[2]CCMS_DEBT_SUMMARY_C_EXP!$T:$T)</f>
        <v>#VALUE!</v>
      </c>
      <c r="D12" s="11" t="e">
        <f>SUMIF([2]CCMS_DEBT_SUMMARY_C_EXP!$A:$A,$D$3,[2]CCMS_DEBT_SUMMARY_C_EXP!$T:$T)</f>
        <v>#VALUE!</v>
      </c>
      <c r="E12" s="11" t="e">
        <f>SUMIF([2]CCMS_DEBT_SUMMARY_C_EXP!$A:$A,$E$3,[2]CCMS_DEBT_SUMMARY_C_EXP!$T:$T)</f>
        <v>#VALUE!</v>
      </c>
      <c r="F12" s="11" t="e">
        <f>SUMIF([2]CCMS_DEBT_SUMMARY_C_EXP!$A:$A,$F$3,[2]CCMS_DEBT_SUMMARY_C_EXP!$T:$T)</f>
        <v>#VALUE!</v>
      </c>
      <c r="G12" s="11" t="e">
        <f>SUMIF([2]CCMS_DEBT_SUMMARY_C_EXP!$A:$A,$G$3,[2]CCMS_DEBT_SUMMARY_C_EXP!$T:$T)</f>
        <v>#VALUE!</v>
      </c>
      <c r="I12" s="11" t="e">
        <f t="shared" si="0"/>
        <v>#VALUE!</v>
      </c>
      <c r="K12" s="11" t="e">
        <f>SUMIF([2]CCMS_DEBT_SUMMARY_C_EXP!$C:$C,K$3,[2]CCMS_DEBT_SUMMARY_C_EXP!$T:$T)</f>
        <v>#VALUE!</v>
      </c>
      <c r="L12" s="11" t="e">
        <f>SUMIF([2]CCMS_DEBT_SUMMARY_C_EXP!$C:$C,L$3,[2]CCMS_DEBT_SUMMARY_C_EXP!$T:$T)</f>
        <v>#VALUE!</v>
      </c>
      <c r="M12" s="11" t="e">
        <f>SUMIF([2]CCMS_DEBT_SUMMARY_C_EXP!$C:$C,M$3,[2]CCMS_DEBT_SUMMARY_C_EXP!$T:$T)</f>
        <v>#VALUE!</v>
      </c>
      <c r="N12" s="11" t="e">
        <f>SUMIF([2]CCMS_DEBT_SUMMARY_C_EXP!$C:$C,N$3,[2]CCMS_DEBT_SUMMARY_C_EXP!$T:$T)</f>
        <v>#VALUE!</v>
      </c>
      <c r="O12" s="11" t="e">
        <f>SUMIF([2]CCMS_DEBT_SUMMARY_C_EXP!$C:$C,O$3,[2]CCMS_DEBT_SUMMARY_C_EXP!$T:$T)</f>
        <v>#VALUE!</v>
      </c>
      <c r="Q12" s="11" t="e">
        <f t="shared" si="1"/>
        <v>#VALUE!</v>
      </c>
    </row>
    <row r="13" spans="2:17" x14ac:dyDescent="0.2">
      <c r="B13" t="s">
        <v>93</v>
      </c>
      <c r="C13" s="11" t="e">
        <f>SUMIF([2]CCMS_DEBT_SUMMARY_C_EXP!$A:$A,$C$3,[2]CCMS_DEBT_SUMMARY_C_EXP!$S:$S)</f>
        <v>#VALUE!</v>
      </c>
      <c r="D13" s="11" t="e">
        <f>SUMIF([2]CCMS_DEBT_SUMMARY_C_EXP!$A:$A,$D$3,[2]CCMS_DEBT_SUMMARY_C_EXP!$S:$S)</f>
        <v>#VALUE!</v>
      </c>
      <c r="E13" s="11" t="e">
        <f>SUMIF([2]CCMS_DEBT_SUMMARY_C_EXP!$A:$A,$E$3,[2]CCMS_DEBT_SUMMARY_C_EXP!$S:$S)</f>
        <v>#VALUE!</v>
      </c>
      <c r="F13" s="11" t="e">
        <f>SUMIF([2]CCMS_DEBT_SUMMARY_C_EXP!$A:$A,$F$3,[2]CCMS_DEBT_SUMMARY_C_EXP!$S:$S)</f>
        <v>#VALUE!</v>
      </c>
      <c r="G13" s="11" t="e">
        <f>SUMIF([2]CCMS_DEBT_SUMMARY_C_EXP!$A:$A,$G$3,[2]CCMS_DEBT_SUMMARY_C_EXP!$S:$S)</f>
        <v>#VALUE!</v>
      </c>
      <c r="I13" s="11" t="e">
        <f t="shared" si="0"/>
        <v>#VALUE!</v>
      </c>
      <c r="K13" s="11" t="e">
        <f>SUMIF([2]CCMS_DEBT_SUMMARY_C_EXP!$C:$C,K$3,[2]CCMS_DEBT_SUMMARY_C_EXP!$S:$S)</f>
        <v>#VALUE!</v>
      </c>
      <c r="L13" s="11" t="e">
        <f>SUMIF([2]CCMS_DEBT_SUMMARY_C_EXP!$C:$C,L$3,[2]CCMS_DEBT_SUMMARY_C_EXP!$S:$S)</f>
        <v>#VALUE!</v>
      </c>
      <c r="M13" s="11" t="e">
        <f>SUMIF([2]CCMS_DEBT_SUMMARY_C_EXP!$C:$C,M$3,[2]CCMS_DEBT_SUMMARY_C_EXP!$S:$S)</f>
        <v>#VALUE!</v>
      </c>
      <c r="N13" s="11" t="e">
        <f>SUMIF([2]CCMS_DEBT_SUMMARY_C_EXP!$C:$C,N$3,[2]CCMS_DEBT_SUMMARY_C_EXP!$S:$S)</f>
        <v>#VALUE!</v>
      </c>
      <c r="O13" s="11" t="e">
        <f>SUMIF([2]CCMS_DEBT_SUMMARY_C_EXP!$C:$C,O$3,[2]CCMS_DEBT_SUMMARY_C_EXP!$S:$S)</f>
        <v>#VALUE!</v>
      </c>
      <c r="Q13" s="11" t="e">
        <f t="shared" si="1"/>
        <v>#VALUE!</v>
      </c>
    </row>
    <row r="14" spans="2:17" x14ac:dyDescent="0.2">
      <c r="B14" t="s">
        <v>94</v>
      </c>
      <c r="C14" s="11" t="e">
        <f>SUMIF([2]CCMS_DEBT_SUMMARY_C_EXP!$A:$A,C$3,[2]CCMS_DEBT_SUMMARY_C_EXP!$I:$I)</f>
        <v>#VALUE!</v>
      </c>
      <c r="D14" s="11" t="e">
        <f>SUMIF([2]CCMS_DEBT_SUMMARY_C_EXP!$A:$A,$D$3,[2]CCMS_DEBT_SUMMARY_C_EXP!$I:$I)</f>
        <v>#VALUE!</v>
      </c>
      <c r="E14" s="11" t="e">
        <f>SUMIF([2]CCMS_DEBT_SUMMARY_C_EXP!$A:$A,$E$3,[2]CCMS_DEBT_SUMMARY_C_EXP!$I:$I)</f>
        <v>#VALUE!</v>
      </c>
      <c r="F14" s="11" t="e">
        <f>SUMIF([2]CCMS_DEBT_SUMMARY_C_EXP!$A:$A,$F$3,[2]CCMS_DEBT_SUMMARY_C_EXP!$I:$I)</f>
        <v>#VALUE!</v>
      </c>
      <c r="G14" s="11" t="e">
        <f>SUMIF([2]CCMS_DEBT_SUMMARY_C_EXP!$A:$A,$G$3,[2]CCMS_DEBT_SUMMARY_C_EXP!$I:$I)</f>
        <v>#VALUE!</v>
      </c>
      <c r="I14" s="11" t="e">
        <f t="shared" si="0"/>
        <v>#VALUE!</v>
      </c>
      <c r="K14" s="11" t="e">
        <f>SUMIF([2]CCMS_DEBT_SUMMARY_C_EXP!$C:$C,K$3,[2]CCMS_DEBT_SUMMARY_C_EXP!$I:$I)</f>
        <v>#VALUE!</v>
      </c>
      <c r="L14" s="11" t="e">
        <f>SUMIF([2]CCMS_DEBT_SUMMARY_C_EXP!$C:$C,L$3,[2]CCMS_DEBT_SUMMARY_C_EXP!$I:$I)</f>
        <v>#VALUE!</v>
      </c>
      <c r="M14" s="11" t="e">
        <f>SUMIF([2]CCMS_DEBT_SUMMARY_C_EXP!$C:$C,M$3,[2]CCMS_DEBT_SUMMARY_C_EXP!$I:$I)</f>
        <v>#VALUE!</v>
      </c>
      <c r="N14" s="11" t="e">
        <f>SUMIF([2]CCMS_DEBT_SUMMARY_C_EXP!$C:$C,N$3,[2]CCMS_DEBT_SUMMARY_C_EXP!$I:$I)</f>
        <v>#VALUE!</v>
      </c>
      <c r="O14" s="11" t="e">
        <f>SUMIF([2]CCMS_DEBT_SUMMARY_C_EXP!$C:$C,O$3,[2]CCMS_DEBT_SUMMARY_C_EXP!$I:$I)</f>
        <v>#VALUE!</v>
      </c>
      <c r="Q14" s="11" t="e">
        <f t="shared" si="1"/>
        <v>#VALUE!</v>
      </c>
    </row>
    <row r="15" spans="2:17" x14ac:dyDescent="0.2">
      <c r="B15" t="s">
        <v>95</v>
      </c>
      <c r="C15" s="11" t="e">
        <f>SUMIF([2]CCMS_DEBT_SUMMARY_C_EXP!$A:$A,$C$3,[2]CCMS_DEBT_SUMMARY_C_EXP!$H:$H)</f>
        <v>#VALUE!</v>
      </c>
      <c r="D15" s="11" t="e">
        <f>SUMIF([2]CCMS_DEBT_SUMMARY_C_EXP!$A:$A,$D$3,[2]CCMS_DEBT_SUMMARY_C_EXP!$H:$H)</f>
        <v>#VALUE!</v>
      </c>
      <c r="E15" s="11" t="e">
        <f>SUMIF([2]CCMS_DEBT_SUMMARY_C_EXP!$A:$A,$E$3,[2]CCMS_DEBT_SUMMARY_C_EXP!$H:$H)</f>
        <v>#VALUE!</v>
      </c>
      <c r="F15" s="11" t="e">
        <f>SUMIF([2]CCMS_DEBT_SUMMARY_C_EXP!$A:$A,$F$3,[2]CCMS_DEBT_SUMMARY_C_EXP!$H:$H)</f>
        <v>#VALUE!</v>
      </c>
      <c r="G15" s="11" t="e">
        <f>SUMIF([2]CCMS_DEBT_SUMMARY_C_EXP!$A:$A,$G$3,[2]CCMS_DEBT_SUMMARY_C_EXP!$H:$H)</f>
        <v>#VALUE!</v>
      </c>
      <c r="I15" s="11" t="e">
        <f t="shared" si="0"/>
        <v>#VALUE!</v>
      </c>
      <c r="K15" s="11" t="e">
        <f>SUMIF([2]CCMS_DEBT_SUMMARY_C_EXP!$C:$C,K$3,[2]CCMS_DEBT_SUMMARY_C_EXP!$H:$H)</f>
        <v>#VALUE!</v>
      </c>
      <c r="L15" s="11" t="e">
        <f>SUMIF([2]CCMS_DEBT_SUMMARY_C_EXP!$C:$C,L$3,[2]CCMS_DEBT_SUMMARY_C_EXP!$H:$H)</f>
        <v>#VALUE!</v>
      </c>
      <c r="M15" s="11" t="e">
        <f>SUMIF([2]CCMS_DEBT_SUMMARY_C_EXP!$C:$C,M$3,[2]CCMS_DEBT_SUMMARY_C_EXP!$H:$H)</f>
        <v>#VALUE!</v>
      </c>
      <c r="N15" s="11" t="e">
        <f>SUMIF([2]CCMS_DEBT_SUMMARY_C_EXP!$C:$C,N$3,[2]CCMS_DEBT_SUMMARY_C_EXP!$H:$H)</f>
        <v>#VALUE!</v>
      </c>
      <c r="O15" s="11" t="e">
        <f>SUMIF([2]CCMS_DEBT_SUMMARY_C_EXP!$C:$C,O$3,[2]CCMS_DEBT_SUMMARY_C_EXP!$H:$H)</f>
        <v>#VALUE!</v>
      </c>
      <c r="Q15" s="11" t="e">
        <f t="shared" si="1"/>
        <v>#VALUE!</v>
      </c>
    </row>
    <row r="17" spans="2:17" x14ac:dyDescent="0.2">
      <c r="B17" t="s">
        <v>59</v>
      </c>
      <c r="C17" s="11" t="e">
        <f>C4-C6-C7-C9-C11-C13-C15</f>
        <v>#VALUE!</v>
      </c>
      <c r="D17" s="11" t="e">
        <f>D4-D6-D7-D9-D11-D13-D15</f>
        <v>#VALUE!</v>
      </c>
      <c r="E17" s="11" t="e">
        <f>E4-E6-E7-E9-E11-E13-E15</f>
        <v>#VALUE!</v>
      </c>
      <c r="F17" s="11" t="e">
        <f>F4-F6-F7-F9-F11-F13-F15</f>
        <v>#VALUE!</v>
      </c>
      <c r="G17" s="11" t="e">
        <f>G4-G6-G7-G9-G11-G13-G15</f>
        <v>#VALUE!</v>
      </c>
      <c r="I17" s="11" t="e">
        <f>I4-I6-I7-I9-I11-I13-I15</f>
        <v>#VALUE!</v>
      </c>
      <c r="K17" s="11" t="e">
        <f>K4-K6-K7-K9-K11-K13-K15</f>
        <v>#VALUE!</v>
      </c>
      <c r="L17" s="11" t="e">
        <f>L4-L6-L7-L9-L11-L13-L15</f>
        <v>#VALUE!</v>
      </c>
      <c r="M17" s="11" t="e">
        <f>M4-M6-M7-M9-M11-M13-M15</f>
        <v>#VALUE!</v>
      </c>
      <c r="N17" s="11" t="e">
        <f>N4-N6-N7-N9-N11-N13-N15</f>
        <v>#VALUE!</v>
      </c>
      <c r="O17" s="11" t="e">
        <f>O4-O6-O7-O9-O11-O13-O15</f>
        <v>#VALUE!</v>
      </c>
      <c r="Q17" s="11" t="e">
        <f>SUM(K17:P17)</f>
        <v>#VALUE!</v>
      </c>
    </row>
    <row r="19" spans="2:17" x14ac:dyDescent="0.2">
      <c r="B19" t="s">
        <v>75</v>
      </c>
      <c r="C19" s="11" t="e">
        <f>-C5-C8-C10-C12-C14</f>
        <v>#VALUE!</v>
      </c>
      <c r="D19" s="11" t="e">
        <f>-D5-D8-D10-D12-D14</f>
        <v>#VALUE!</v>
      </c>
      <c r="E19" s="11" t="e">
        <f>-E5-E8-E10-E12-E14</f>
        <v>#VALUE!</v>
      </c>
      <c r="F19" s="11" t="e">
        <f>-F5-F8-F10-F12-F14</f>
        <v>#VALUE!</v>
      </c>
      <c r="G19" s="11" t="e">
        <f>-G5-G8-G10-G12-G14</f>
        <v>#VALUE!</v>
      </c>
      <c r="I19" s="11" t="e">
        <f>-I5-I8-I10-I12-I14</f>
        <v>#VALUE!</v>
      </c>
      <c r="K19" s="11" t="e">
        <f>-K5-K8-K10-K12-K14</f>
        <v>#VALUE!</v>
      </c>
      <c r="L19" s="11" t="e">
        <f>-L5-L8-L10-L12-L14</f>
        <v>#VALUE!</v>
      </c>
      <c r="M19" s="11" t="e">
        <f>-M5-M8-M10-M12-M14</f>
        <v>#VALUE!</v>
      </c>
      <c r="N19" s="11" t="e">
        <f>-N5-N8-N10-N12-N14</f>
        <v>#VALUE!</v>
      </c>
      <c r="O19" s="11" t="e">
        <f>-O5-O8-O10-O12-O14</f>
        <v>#VALUE!</v>
      </c>
      <c r="Q19" s="11" t="e">
        <f>SUM(K19:P19)</f>
        <v>#VALUE!</v>
      </c>
    </row>
    <row r="21" spans="2:17" x14ac:dyDescent="0.2">
      <c r="B21" t="s">
        <v>96</v>
      </c>
    </row>
    <row r="23" spans="2:17" x14ac:dyDescent="0.2">
      <c r="B23" t="s">
        <v>27</v>
      </c>
    </row>
    <row r="24" spans="2:17" x14ac:dyDescent="0.2">
      <c r="B24" t="s">
        <v>50</v>
      </c>
      <c r="C24" s="11" t="s">
        <v>22</v>
      </c>
      <c r="D24" s="11" t="s">
        <v>23</v>
      </c>
      <c r="E24" s="11" t="s">
        <v>24</v>
      </c>
      <c r="F24" s="11" t="s">
        <v>25</v>
      </c>
      <c r="G24" s="11" t="s">
        <v>26</v>
      </c>
      <c r="I24" s="11" t="s">
        <v>5</v>
      </c>
    </row>
    <row r="25" spans="2:17" x14ac:dyDescent="0.2">
      <c r="B25" t="s">
        <v>97</v>
      </c>
      <c r="C25" s="11" t="e">
        <f>C4</f>
        <v>#VALUE!</v>
      </c>
      <c r="D25" s="11" t="e">
        <f>D4</f>
        <v>#VALUE!</v>
      </c>
      <c r="E25" s="11" t="e">
        <f>E4</f>
        <v>#VALUE!</v>
      </c>
      <c r="F25" s="11" t="e">
        <f>F4</f>
        <v>#VALUE!</v>
      </c>
      <c r="G25" s="11" t="e">
        <f>G4</f>
        <v>#VALUE!</v>
      </c>
      <c r="I25" s="11" t="e">
        <f>I4</f>
        <v>#VALUE!</v>
      </c>
    </row>
    <row r="26" spans="2:17" x14ac:dyDescent="0.2">
      <c r="B26" t="s">
        <v>98</v>
      </c>
      <c r="C26" s="11" t="e">
        <f t="shared" ref="C26:G27" si="2">C6</f>
        <v>#VALUE!</v>
      </c>
      <c r="D26" s="11" t="e">
        <f t="shared" si="2"/>
        <v>#VALUE!</v>
      </c>
      <c r="E26" s="11" t="e">
        <f t="shared" si="2"/>
        <v>#VALUE!</v>
      </c>
      <c r="F26" s="11" t="e">
        <f t="shared" si="2"/>
        <v>#VALUE!</v>
      </c>
      <c r="G26" s="11" t="e">
        <f t="shared" si="2"/>
        <v>#VALUE!</v>
      </c>
      <c r="I26" s="11" t="e">
        <f>I6</f>
        <v>#VALUE!</v>
      </c>
    </row>
    <row r="27" spans="2:17" x14ac:dyDescent="0.2">
      <c r="B27" t="s">
        <v>99</v>
      </c>
      <c r="C27" s="11" t="e">
        <f t="shared" si="2"/>
        <v>#VALUE!</v>
      </c>
      <c r="D27" s="11" t="e">
        <f t="shared" si="2"/>
        <v>#VALUE!</v>
      </c>
      <c r="E27" s="11" t="e">
        <f t="shared" si="2"/>
        <v>#VALUE!</v>
      </c>
      <c r="F27" s="11" t="e">
        <f t="shared" si="2"/>
        <v>#VALUE!</v>
      </c>
      <c r="G27" s="11" t="e">
        <f t="shared" si="2"/>
        <v>#VALUE!</v>
      </c>
      <c r="I27" s="11" t="e">
        <f>I7</f>
        <v>#VALUE!</v>
      </c>
    </row>
    <row r="28" spans="2:17" x14ac:dyDescent="0.2">
      <c r="B28" t="s">
        <v>100</v>
      </c>
      <c r="C28" s="11" t="e">
        <f>C9</f>
        <v>#VALUE!</v>
      </c>
      <c r="D28" s="11" t="e">
        <f>D9</f>
        <v>#VALUE!</v>
      </c>
      <c r="E28" s="11" t="e">
        <f>E9</f>
        <v>#VALUE!</v>
      </c>
      <c r="F28" s="11" t="e">
        <f>F9</f>
        <v>#VALUE!</v>
      </c>
      <c r="G28" s="11" t="e">
        <f>G9</f>
        <v>#VALUE!</v>
      </c>
      <c r="I28" s="11" t="e">
        <f>I9</f>
        <v>#VALUE!</v>
      </c>
    </row>
    <row r="29" spans="2:17" x14ac:dyDescent="0.2">
      <c r="B29" t="s">
        <v>101</v>
      </c>
      <c r="C29" s="11" t="e">
        <f>C11</f>
        <v>#VALUE!</v>
      </c>
      <c r="D29" s="11" t="e">
        <f>D11</f>
        <v>#VALUE!</v>
      </c>
      <c r="E29" s="11" t="e">
        <f>E11</f>
        <v>#VALUE!</v>
      </c>
      <c r="F29" s="11" t="e">
        <f>F11</f>
        <v>#VALUE!</v>
      </c>
      <c r="G29" s="11" t="e">
        <f>G11</f>
        <v>#VALUE!</v>
      </c>
      <c r="I29" s="11" t="e">
        <f>I11</f>
        <v>#VALUE!</v>
      </c>
    </row>
    <row r="30" spans="2:17" x14ac:dyDescent="0.2">
      <c r="B30" t="s">
        <v>102</v>
      </c>
      <c r="C30" s="11" t="e">
        <f>C13</f>
        <v>#VALUE!</v>
      </c>
      <c r="D30" s="11" t="e">
        <f>D13</f>
        <v>#VALUE!</v>
      </c>
      <c r="E30" s="11" t="e">
        <f>E13</f>
        <v>#VALUE!</v>
      </c>
      <c r="F30" s="11" t="e">
        <f>F13</f>
        <v>#VALUE!</v>
      </c>
      <c r="G30" s="11" t="e">
        <f>G13</f>
        <v>#VALUE!</v>
      </c>
      <c r="I30" s="11" t="e">
        <f>I13</f>
        <v>#VALUE!</v>
      </c>
    </row>
    <row r="31" spans="2:17" x14ac:dyDescent="0.2">
      <c r="B31" t="s">
        <v>103</v>
      </c>
      <c r="C31" s="11" t="e">
        <f>C15</f>
        <v>#VALUE!</v>
      </c>
      <c r="D31" s="11" t="e">
        <f>D15</f>
        <v>#VALUE!</v>
      </c>
      <c r="E31" s="11" t="e">
        <f>E15</f>
        <v>#VALUE!</v>
      </c>
      <c r="F31" s="11" t="e">
        <f>F15</f>
        <v>#VALUE!</v>
      </c>
      <c r="G31" s="11" t="e">
        <f>G15</f>
        <v>#VALUE!</v>
      </c>
      <c r="I31" s="11" t="e">
        <f>I15</f>
        <v>#VALUE!</v>
      </c>
    </row>
    <row r="32" spans="2:17" ht="15.75" customHeight="1" thickBot="1" x14ac:dyDescent="0.25">
      <c r="B32" t="s">
        <v>5</v>
      </c>
      <c r="C32" s="11" t="e">
        <f>C25-SUM(C26:C31)</f>
        <v>#VALUE!</v>
      </c>
      <c r="D32" s="11" t="e">
        <f>D25-SUM(D26:D31)</f>
        <v>#VALUE!</v>
      </c>
      <c r="E32" s="11" t="e">
        <f>E25-SUM(E26:E31)</f>
        <v>#VALUE!</v>
      </c>
      <c r="F32" s="11" t="e">
        <f>F25-SUM(F26:F31)</f>
        <v>#VALUE!</v>
      </c>
      <c r="G32" s="11" t="e">
        <f>G25-SUM(G26:G31)</f>
        <v>#VALUE!</v>
      </c>
      <c r="I32" s="11" t="e">
        <f>I25-SUM(I26:I31)</f>
        <v>#VALUE!</v>
      </c>
    </row>
    <row r="33" spans="2:9" ht="15.75" customHeight="1" thickTop="1" x14ac:dyDescent="0.2">
      <c r="B33" t="s">
        <v>15</v>
      </c>
      <c r="C33" s="11" t="e">
        <f>C32-C17</f>
        <v>#VALUE!</v>
      </c>
      <c r="D33" s="11" t="e">
        <f>D32-D17</f>
        <v>#VALUE!</v>
      </c>
      <c r="E33" s="11" t="e">
        <f>E32-E17</f>
        <v>#VALUE!</v>
      </c>
      <c r="F33" s="11" t="e">
        <f>F32-F17</f>
        <v>#VALUE!</v>
      </c>
      <c r="G33" s="11" t="e">
        <f>G32-G17</f>
        <v>#VALUE!</v>
      </c>
      <c r="I33" s="11" t="e">
        <f>I32-I17</f>
        <v>#VALUE!</v>
      </c>
    </row>
    <row r="35" spans="2:9" x14ac:dyDescent="0.2">
      <c r="B35" t="s">
        <v>68</v>
      </c>
    </row>
    <row r="36" spans="2:9" x14ac:dyDescent="0.2">
      <c r="B36" t="s">
        <v>50</v>
      </c>
      <c r="C36" s="11" t="s">
        <v>22</v>
      </c>
      <c r="D36" s="11" t="s">
        <v>23</v>
      </c>
      <c r="E36" s="11" t="s">
        <v>24</v>
      </c>
      <c r="F36" s="11" t="s">
        <v>25</v>
      </c>
      <c r="G36" s="11" t="s">
        <v>26</v>
      </c>
      <c r="I36" s="11" t="s">
        <v>5</v>
      </c>
    </row>
    <row r="37" spans="2:9" x14ac:dyDescent="0.2">
      <c r="B37" t="s">
        <v>104</v>
      </c>
      <c r="C37" s="11" t="e">
        <f>C5</f>
        <v>#VALUE!</v>
      </c>
      <c r="D37" s="11" t="e">
        <f>D5</f>
        <v>#VALUE!</v>
      </c>
      <c r="E37" s="11" t="e">
        <f>E5</f>
        <v>#VALUE!</v>
      </c>
      <c r="F37" s="11" t="e">
        <f>F5</f>
        <v>#VALUE!</v>
      </c>
      <c r="G37" s="11" t="e">
        <f>G5</f>
        <v>#VALUE!</v>
      </c>
      <c r="I37" s="11" t="e">
        <f>I5</f>
        <v>#VALUE!</v>
      </c>
    </row>
    <row r="38" spans="2:9" x14ac:dyDescent="0.2">
      <c r="B38" t="s">
        <v>105</v>
      </c>
      <c r="C38" s="11" t="e">
        <f>C8</f>
        <v>#VALUE!</v>
      </c>
      <c r="D38" s="11" t="e">
        <f>D8</f>
        <v>#VALUE!</v>
      </c>
      <c r="E38" s="11" t="e">
        <f>E8</f>
        <v>#VALUE!</v>
      </c>
      <c r="F38" s="11" t="e">
        <f>F8</f>
        <v>#VALUE!</v>
      </c>
      <c r="G38" s="11" t="e">
        <f>G8</f>
        <v>#VALUE!</v>
      </c>
      <c r="I38" s="11" t="e">
        <f>I8</f>
        <v>#VALUE!</v>
      </c>
    </row>
    <row r="39" spans="2:9" x14ac:dyDescent="0.2">
      <c r="B39" t="s">
        <v>106</v>
      </c>
      <c r="C39" s="11" t="e">
        <f>C10</f>
        <v>#VALUE!</v>
      </c>
      <c r="D39" s="11" t="e">
        <f>D10</f>
        <v>#VALUE!</v>
      </c>
      <c r="E39" s="11" t="e">
        <f>E10</f>
        <v>#VALUE!</v>
      </c>
      <c r="F39" s="11" t="e">
        <f>F10</f>
        <v>#VALUE!</v>
      </c>
      <c r="G39" s="11" t="e">
        <f>G10</f>
        <v>#VALUE!</v>
      </c>
      <c r="I39" s="11" t="e">
        <f>I10</f>
        <v>#VALUE!</v>
      </c>
    </row>
    <row r="40" spans="2:9" x14ac:dyDescent="0.2">
      <c r="B40" t="s">
        <v>107</v>
      </c>
      <c r="C40" s="11" t="e">
        <f>C12</f>
        <v>#VALUE!</v>
      </c>
      <c r="D40" s="11" t="e">
        <f>D12</f>
        <v>#VALUE!</v>
      </c>
      <c r="E40" s="11" t="e">
        <f>E12</f>
        <v>#VALUE!</v>
      </c>
      <c r="F40" s="11" t="e">
        <f>F12</f>
        <v>#VALUE!</v>
      </c>
      <c r="G40" s="11" t="e">
        <f>G12</f>
        <v>#VALUE!</v>
      </c>
      <c r="I40" s="11" t="e">
        <f>I12</f>
        <v>#VALUE!</v>
      </c>
    </row>
    <row r="41" spans="2:9" x14ac:dyDescent="0.2">
      <c r="B41" t="s">
        <v>108</v>
      </c>
      <c r="C41" s="11" t="e">
        <f>C14</f>
        <v>#VALUE!</v>
      </c>
      <c r="D41" s="11" t="e">
        <f>D14</f>
        <v>#VALUE!</v>
      </c>
      <c r="E41" s="11" t="e">
        <f>E14</f>
        <v>#VALUE!</v>
      </c>
      <c r="F41" s="11" t="e">
        <f>F14</f>
        <v>#VALUE!</v>
      </c>
      <c r="G41" s="11" t="e">
        <f>G14</f>
        <v>#VALUE!</v>
      </c>
      <c r="I41" s="11" t="e">
        <f>I14</f>
        <v>#VALUE!</v>
      </c>
    </row>
    <row r="42" spans="2:9" ht="15.75" customHeight="1" thickBot="1" x14ac:dyDescent="0.25">
      <c r="B42" t="s">
        <v>5</v>
      </c>
      <c r="C42" s="11" t="e">
        <f>-C37-C38-C39-C40-C41</f>
        <v>#VALUE!</v>
      </c>
      <c r="D42" s="11" t="e">
        <f>-D37-D38-D39-D40-D41</f>
        <v>#VALUE!</v>
      </c>
      <c r="E42" s="11" t="e">
        <f>-E37-E38-E39-E40-E41</f>
        <v>#VALUE!</v>
      </c>
      <c r="F42" s="11" t="e">
        <f>-F37-F38-F39-F40-F41</f>
        <v>#VALUE!</v>
      </c>
      <c r="G42" s="11" t="e">
        <f>-G37-G38-G39-G40-G41</f>
        <v>#VALUE!</v>
      </c>
      <c r="I42" s="11" t="e">
        <f>-I37-I38-I39-I40-I41</f>
        <v>#VALUE!</v>
      </c>
    </row>
    <row r="43" spans="2:9" ht="15.75" customHeight="1" thickTop="1" x14ac:dyDescent="0.2">
      <c r="B43" t="s">
        <v>15</v>
      </c>
      <c r="C43" s="11" t="e">
        <f>C42-C19</f>
        <v>#VALUE!</v>
      </c>
      <c r="D43" s="11" t="e">
        <f>D42-D19</f>
        <v>#VALUE!</v>
      </c>
      <c r="E43" s="11" t="e">
        <f>E42-E19</f>
        <v>#VALUE!</v>
      </c>
      <c r="F43" s="11" t="e">
        <f>F42-F19</f>
        <v>#VALUE!</v>
      </c>
      <c r="G43" s="11" t="e">
        <f>G42-G19</f>
        <v>#VALUE!</v>
      </c>
      <c r="I43" s="11" t="e">
        <f>I42-I19</f>
        <v>#VALUE!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B2:I43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6.6640625" customWidth="1"/>
    <col min="2" max="2" width="45" bestFit="1" customWidth="1"/>
    <col min="3" max="3" width="14.5" style="11" bestFit="1" customWidth="1"/>
    <col min="4" max="6" width="15.5" style="11" bestFit="1" customWidth="1"/>
    <col min="7" max="7" width="16.5" style="11" bestFit="1" customWidth="1"/>
    <col min="8" max="8" width="11.83203125" style="11" bestFit="1" customWidth="1"/>
    <col min="9" max="9" width="14.83203125" style="11" bestFit="1" customWidth="1"/>
    <col min="10" max="10" width="9.33203125" bestFit="1" customWidth="1"/>
    <col min="11" max="11" width="37.5" bestFit="1" customWidth="1"/>
    <col min="12" max="12" width="15.33203125" bestFit="1" customWidth="1"/>
    <col min="13" max="13" width="12.83203125" bestFit="1" customWidth="1"/>
    <col min="14" max="14" width="14.33203125" bestFit="1" customWidth="1"/>
    <col min="15" max="18" width="9.33203125" bestFit="1" customWidth="1"/>
    <col min="19" max="19" width="11.5" bestFit="1" customWidth="1"/>
    <col min="20" max="21" width="10.5" bestFit="1" customWidth="1"/>
    <col min="22" max="25" width="9.33203125" bestFit="1" customWidth="1"/>
    <col min="26" max="26" width="10.5" bestFit="1" customWidth="1"/>
    <col min="27" max="31" width="9.33203125" bestFit="1" customWidth="1"/>
    <col min="32" max="32" width="10.5" bestFit="1" customWidth="1"/>
    <col min="33" max="33" width="9.33203125" bestFit="1" customWidth="1"/>
    <col min="34" max="35" width="10.5" bestFit="1" customWidth="1"/>
    <col min="36" max="38" width="9.33203125" bestFit="1" customWidth="1"/>
    <col min="39" max="39" width="10.5" bestFit="1" customWidth="1"/>
    <col min="40" max="40" width="9.33203125" bestFit="1" customWidth="1"/>
    <col min="41" max="41" width="10.5" bestFit="1" customWidth="1"/>
    <col min="42" max="50" width="9.33203125" bestFit="1" customWidth="1"/>
    <col min="51" max="51" width="11.5" bestFit="1" customWidth="1"/>
    <col min="52" max="57" width="9.33203125" bestFit="1" customWidth="1"/>
    <col min="58" max="58" width="10.5" bestFit="1" customWidth="1"/>
    <col min="59" max="59" width="9.33203125" bestFit="1" customWidth="1"/>
    <col min="60" max="61" width="10.5" bestFit="1" customWidth="1"/>
    <col min="62" max="62" width="9.33203125" bestFit="1" customWidth="1"/>
    <col min="63" max="63" width="10.5" bestFit="1" customWidth="1"/>
    <col min="64" max="66" width="9.33203125" bestFit="1" customWidth="1"/>
    <col min="67" max="67" width="14.33203125" bestFit="1" customWidth="1"/>
    <col min="68" max="69" width="12.5" bestFit="1" customWidth="1"/>
    <col min="70" max="70" width="10.5" bestFit="1" customWidth="1"/>
    <col min="71" max="73" width="9.33203125" bestFit="1" customWidth="1"/>
    <col min="74" max="74" width="14.33203125" bestFit="1" customWidth="1"/>
    <col min="75" max="75" width="12.5" bestFit="1" customWidth="1"/>
    <col min="76" max="76" width="14.33203125" bestFit="1" customWidth="1"/>
    <col min="77" max="77" width="12.5" bestFit="1" customWidth="1"/>
    <col min="78" max="78" width="11.5" bestFit="1" customWidth="1"/>
    <col min="79" max="79" width="12.5" bestFit="1" customWidth="1"/>
    <col min="80" max="80" width="11.5" bestFit="1" customWidth="1"/>
    <col min="81" max="81" width="9.33203125" bestFit="1" customWidth="1"/>
    <col min="82" max="82" width="11.5" bestFit="1" customWidth="1"/>
    <col min="83" max="85" width="9.33203125" bestFit="1" customWidth="1"/>
  </cols>
  <sheetData>
    <row r="2" spans="2:9" x14ac:dyDescent="0.2">
      <c r="B2" t="s">
        <v>110</v>
      </c>
    </row>
    <row r="5" spans="2:9" x14ac:dyDescent="0.2">
      <c r="B5" t="s">
        <v>109</v>
      </c>
    </row>
    <row r="7" spans="2:9" x14ac:dyDescent="0.2">
      <c r="B7" t="s">
        <v>50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51</v>
      </c>
      <c r="I7" s="11" t="s">
        <v>5</v>
      </c>
    </row>
    <row r="8" spans="2:9" x14ac:dyDescent="0.2">
      <c r="B8" t="s">
        <v>84</v>
      </c>
      <c r="C8" s="11" t="e">
        <f>SUM([3]FIXED_CASES_EXP!M:M)</f>
        <v>#REF!</v>
      </c>
      <c r="D8" s="11" t="e">
        <f>SUM([3]FIXED_CASES_EXP!AE:AE)</f>
        <v>#REF!</v>
      </c>
      <c r="E8" s="11" t="e">
        <f>SUM([3]FIXED_CASES_EXP!AW:AW)</f>
        <v>#REF!</v>
      </c>
      <c r="F8" s="11" t="e">
        <f>SUM([3]FIXED_CASES_EXP!BO:BO)</f>
        <v>#REF!</v>
      </c>
      <c r="G8" s="11" t="e">
        <f>SUM([3]FIXED_CASES_EXP!CG:CG)</f>
        <v>#REF!</v>
      </c>
      <c r="I8" s="11" t="e">
        <f t="shared" ref="I8:I19" si="0">SUM(C8:H8)</f>
        <v>#REF!</v>
      </c>
    </row>
    <row r="9" spans="2:9" x14ac:dyDescent="0.2">
      <c r="B9" t="s">
        <v>85</v>
      </c>
      <c r="C9" s="11" t="e">
        <f>SUM([3]FIXED_CASES_EXP!O:O)*-1</f>
        <v>#REF!</v>
      </c>
      <c r="D9" s="11" t="e">
        <f>SUM([3]FIXED_CASES_EXP!AG:AG)*-1</f>
        <v>#REF!</v>
      </c>
      <c r="E9" s="11" t="e">
        <f>SUM([3]FIXED_CASES_EXP!AY:AY)*-1</f>
        <v>#REF!</v>
      </c>
      <c r="F9" s="11" t="e">
        <f>SUM([3]FIXED_CASES_EXP!BQ:BQ)*-1</f>
        <v>#REF!</v>
      </c>
      <c r="G9" s="11" t="e">
        <f>SUM([3]FIXED_CASES_EXP!CI:CI)*-1</f>
        <v>#REF!</v>
      </c>
      <c r="I9" s="11" t="e">
        <f t="shared" si="0"/>
        <v>#REF!</v>
      </c>
    </row>
    <row r="10" spans="2:9" x14ac:dyDescent="0.2">
      <c r="B10" t="s">
        <v>86</v>
      </c>
      <c r="C10" s="11" t="e">
        <f>SUM([3]FIXED_CASES_EXP!Q:Q)*-1</f>
        <v>#REF!</v>
      </c>
      <c r="D10" s="11" t="e">
        <f>SUM([3]FIXED_CASES_EXP!AI:AI)*-1</f>
        <v>#REF!</v>
      </c>
      <c r="E10" s="11" t="e">
        <f>SUM([3]FIXED_CASES_EXP!BA:BA)*-1</f>
        <v>#REF!</v>
      </c>
      <c r="F10" s="11" t="e">
        <f>SUM([3]FIXED_CASES_EXP!BS:BS)*-1</f>
        <v>#REF!</v>
      </c>
      <c r="G10" s="11" t="e">
        <f>SUM([3]FIXED_CASES_EXP!CN:CN)*-1</f>
        <v>#REF!</v>
      </c>
      <c r="I10" s="11" t="e">
        <f t="shared" si="0"/>
        <v>#REF!</v>
      </c>
    </row>
    <row r="11" spans="2:9" x14ac:dyDescent="0.2">
      <c r="B11" t="s">
        <v>87</v>
      </c>
      <c r="C11" s="11" t="e">
        <f>(SUM([3]FIXED_CASES_EXP!P:P)*-1)-C10</f>
        <v>#REF!</v>
      </c>
      <c r="D11" s="11" t="e">
        <f>(SUM([3]FIXED_CASES_EXP!AH:AH)*-1)-D10</f>
        <v>#REF!</v>
      </c>
      <c r="E11" s="11" t="e">
        <f>(SUM([3]FIXED_CASES_EXP!AZ:AZ)*-1)-E10</f>
        <v>#REF!</v>
      </c>
      <c r="F11" s="11" t="e">
        <f>(SUM([3]FIXED_CASES_EXP!BR:BR)*-1)-F10</f>
        <v>#REF!</v>
      </c>
      <c r="G11" s="11" t="e">
        <f>(SUM([3]FIXED_CASES_EXP!CJ:CJ)*-1)-G10</f>
        <v>#REF!</v>
      </c>
      <c r="I11" s="11" t="e">
        <f t="shared" si="0"/>
        <v>#REF!</v>
      </c>
    </row>
    <row r="12" spans="2:9" x14ac:dyDescent="0.2">
      <c r="B12" t="s">
        <v>88</v>
      </c>
      <c r="C12" s="11" t="e">
        <f>SUM([3]FIXED_CASES_EXP!W:W)*-1</f>
        <v>#REF!</v>
      </c>
      <c r="D12" s="11" t="e">
        <f>SUM([3]FIXED_CASES_EXP!AO:AO)*-1</f>
        <v>#REF!</v>
      </c>
      <c r="E12" s="11" t="e">
        <f>SUM([3]FIXED_CASES_EXP!BG:BG)*-1</f>
        <v>#REF!</v>
      </c>
      <c r="F12" s="11" t="e">
        <f>SUM([3]FIXED_CASES_EXP!BY:BY)*-1</f>
        <v>#REF!</v>
      </c>
      <c r="G12" s="11" t="e">
        <f>SUM([3]FIXED_CASES_EXP!CQ:CQ)*-1</f>
        <v>#REF!</v>
      </c>
      <c r="I12" s="11" t="e">
        <f t="shared" si="0"/>
        <v>#REF!</v>
      </c>
    </row>
    <row r="13" spans="2:9" x14ac:dyDescent="0.2">
      <c r="B13" t="s">
        <v>89</v>
      </c>
      <c r="C13" s="11" t="e">
        <f>SUM([3]FIXED_CASES_EXP!X:X)*-1</f>
        <v>#REF!</v>
      </c>
      <c r="D13" s="11" t="e">
        <f>SUM([3]FIXED_CASES_EXP!AP:AP)*-1</f>
        <v>#REF!</v>
      </c>
      <c r="E13" s="11" t="e">
        <f>SUM([3]FIXED_CASES_EXP!BH:BH)*-1</f>
        <v>#REF!</v>
      </c>
      <c r="F13" s="11" t="e">
        <f>SUM([3]FIXED_CASES_EXP!BZ:BZ)*-1</f>
        <v>#REF!</v>
      </c>
      <c r="G13" s="11" t="e">
        <f>SUM([3]FIXED_CASES_EXP!CR:CR)*-1</f>
        <v>#REF!</v>
      </c>
      <c r="I13" s="11" t="e">
        <f t="shared" si="0"/>
        <v>#REF!</v>
      </c>
    </row>
    <row r="14" spans="2:9" x14ac:dyDescent="0.2">
      <c r="B14" t="s">
        <v>90</v>
      </c>
      <c r="C14" s="11" t="e">
        <f>SUM([3]FIXED_CASES_EXP!T:T)*-1</f>
        <v>#REF!</v>
      </c>
      <c r="D14" s="11" t="e">
        <f>SUM([3]FIXED_CASES_EXP!AL:AL)*-1</f>
        <v>#REF!</v>
      </c>
      <c r="E14" s="11" t="e">
        <f>SUM([3]FIXED_CASES_EXP!BD:BD)*-1</f>
        <v>#REF!</v>
      </c>
      <c r="F14" s="11" t="e">
        <f>SUM([3]FIXED_CASES_EXP!BV:BV)*-1</f>
        <v>#REF!</v>
      </c>
      <c r="G14" s="11" t="e">
        <f>SUM([3]FIXED_CASES_EXP!CL:CL)*-1</f>
        <v>#REF!</v>
      </c>
      <c r="I14" s="11" t="e">
        <f t="shared" si="0"/>
        <v>#REF!</v>
      </c>
    </row>
    <row r="15" spans="2:9" x14ac:dyDescent="0.2">
      <c r="B15" t="s">
        <v>91</v>
      </c>
      <c r="C15" s="11" t="e">
        <f>SUM([3]FIXED_CASES_EXP!U:U)*-1</f>
        <v>#REF!</v>
      </c>
      <c r="D15" s="11" t="e">
        <f>SUM([3]FIXED_CASES_EXP!AM:AM)*-1</f>
        <v>#REF!</v>
      </c>
      <c r="E15" s="11" t="e">
        <f>SUM([3]FIXED_CASES_EXP!BE:BE)*-1</f>
        <v>#REF!</v>
      </c>
      <c r="F15" s="11" t="e">
        <f>SUM([3]FIXED_CASES_EXP!BW:BW)*-1</f>
        <v>#REF!</v>
      </c>
      <c r="G15" s="11" t="e">
        <f>SUM([3]FIXED_CASES_EXP!CM:CM)*-1</f>
        <v>#REF!</v>
      </c>
      <c r="I15" s="11" t="e">
        <f t="shared" si="0"/>
        <v>#REF!</v>
      </c>
    </row>
    <row r="16" spans="2:9" x14ac:dyDescent="0.2">
      <c r="B16" t="s">
        <v>92</v>
      </c>
      <c r="C16" s="11" t="e">
        <f>SUM([3]FIXED_CASES_EXP!Z:Z)</f>
        <v>#REF!</v>
      </c>
      <c r="D16" s="11" t="e">
        <f>SUM([3]FIXED_CASES_EXP!AR:AR)</f>
        <v>#REF!</v>
      </c>
      <c r="E16" s="11" t="e">
        <f>SUM([3]FIXED_CASES_EXP!BJ:BJ)</f>
        <v>#REF!</v>
      </c>
      <c r="F16" s="11" t="e">
        <f>SUM([3]FIXED_CASES_EXP!CB:CB)</f>
        <v>#REF!</v>
      </c>
      <c r="G16" s="11" t="e">
        <f>SUM([3]FIXED_CASES_EXP!CT:CT)</f>
        <v>#REF!</v>
      </c>
      <c r="I16" s="11" t="e">
        <f t="shared" si="0"/>
        <v>#REF!</v>
      </c>
    </row>
    <row r="17" spans="2:9" x14ac:dyDescent="0.2">
      <c r="B17" t="s">
        <v>93</v>
      </c>
      <c r="C17" s="11" t="e">
        <f>SUM([3]FIXED_CASES_EXP!AA:AA)</f>
        <v>#REF!</v>
      </c>
      <c r="D17" s="11" t="e">
        <f>SUM([3]FIXED_CASES_EXP!AS:AS)</f>
        <v>#REF!</v>
      </c>
      <c r="E17" s="11" t="e">
        <f>SUM([3]FIXED_CASES_EXP!BK:BK)</f>
        <v>#REF!</v>
      </c>
      <c r="F17" s="11" t="e">
        <f>SUM([3]FIXED_CASES_EXP!CC:CC)</f>
        <v>#REF!</v>
      </c>
      <c r="G17" s="11" t="e">
        <f>SUM([3]FIXED_CASES_EXP!CU:CU)</f>
        <v>#REF!</v>
      </c>
      <c r="I17" s="11" t="e">
        <f t="shared" si="0"/>
        <v>#REF!</v>
      </c>
    </row>
    <row r="18" spans="2:9" x14ac:dyDescent="0.2">
      <c r="B18" t="s">
        <v>94</v>
      </c>
      <c r="C18" s="11" t="e">
        <f>SUM([3]FIXED_CASES_EXP!AC:AC)</f>
        <v>#REF!</v>
      </c>
      <c r="D18" s="11" t="e">
        <f>SUM([3]FIXED_CASES_EXP!AU:AU)</f>
        <v>#REF!</v>
      </c>
      <c r="E18" s="11" t="e">
        <f>SUM([3]FIXED_CASES_EXP!BM:BM)</f>
        <v>#REF!</v>
      </c>
      <c r="F18" s="11" t="e">
        <f>SUM([3]FIXED_CASES_EXP!CE:CE)</f>
        <v>#REF!</v>
      </c>
      <c r="G18" s="11" t="e">
        <f>SUM([3]FIXED_CASES_EXP!CW:CW)</f>
        <v>#REF!</v>
      </c>
      <c r="I18" s="11" t="e">
        <f t="shared" si="0"/>
        <v>#REF!</v>
      </c>
    </row>
    <row r="19" spans="2:9" x14ac:dyDescent="0.2">
      <c r="B19" t="s">
        <v>95</v>
      </c>
      <c r="C19" s="11" t="e">
        <f>SUM([3]FIXED_CASES_EXP!AD:AD)</f>
        <v>#REF!</v>
      </c>
      <c r="D19" s="11" t="e">
        <f>SUM([3]FIXED_CASES_EXP!AV:AV)</f>
        <v>#REF!</v>
      </c>
      <c r="E19" s="11" t="e">
        <f>SUM([3]FIXED_CASES_EXP!BN:BN)</f>
        <v>#REF!</v>
      </c>
      <c r="F19" s="11" t="e">
        <f>SUM([3]FIXED_CASES_EXP!CF:CF)</f>
        <v>#REF!</v>
      </c>
      <c r="G19" s="11" t="e">
        <f>SUM([3]FIXED_CASES_EXP!CX:CX)</f>
        <v>#REF!</v>
      </c>
      <c r="I19" s="11" t="e">
        <f t="shared" si="0"/>
        <v>#REF!</v>
      </c>
    </row>
    <row r="21" spans="2:9" x14ac:dyDescent="0.2">
      <c r="B21" t="s">
        <v>59</v>
      </c>
      <c r="C21" s="11" t="e">
        <f>C8-C10-C11-C13-C15-C17-C19</f>
        <v>#REF!</v>
      </c>
      <c r="D21" s="11" t="e">
        <f>D8-D10-D11-D13-D15-D17-D19</f>
        <v>#REF!</v>
      </c>
      <c r="E21" s="11" t="e">
        <f>E8-E10-E11-E13-E15-E17-E19</f>
        <v>#REF!</v>
      </c>
      <c r="F21" s="11" t="e">
        <f>F8-F10-F11-F13-F15-F17-F19</f>
        <v>#REF!</v>
      </c>
      <c r="G21" s="11" t="e">
        <f>G8-G10-G11-G13-G15-G17-G19</f>
        <v>#REF!</v>
      </c>
      <c r="I21" s="11" t="e">
        <f>I8-I10-I11-I13-I15-I17-I19</f>
        <v>#REF!</v>
      </c>
    </row>
    <row r="23" spans="2:9" x14ac:dyDescent="0.2">
      <c r="B23" t="s">
        <v>75</v>
      </c>
      <c r="C23" s="11" t="e">
        <f>-C9-C12-C14-C16-C18</f>
        <v>#REF!</v>
      </c>
      <c r="D23" s="11" t="e">
        <f>-D9-D12-D14-D16-D18</f>
        <v>#REF!</v>
      </c>
      <c r="E23" s="11" t="e">
        <f>-E9-E12-E14-E16-E18</f>
        <v>#REF!</v>
      </c>
      <c r="F23" s="11" t="e">
        <f>-F9-F12-F14-F16-F18</f>
        <v>#REF!</v>
      </c>
      <c r="G23" s="11" t="e">
        <f>-G9-G12-G14-G16-G18</f>
        <v>#REF!</v>
      </c>
      <c r="I23" s="11" t="e">
        <f>-I9-I12-I14-I16-I18</f>
        <v>#REF!</v>
      </c>
    </row>
    <row r="25" spans="2:9" x14ac:dyDescent="0.2">
      <c r="B25" t="s">
        <v>111</v>
      </c>
    </row>
    <row r="27" spans="2:9" x14ac:dyDescent="0.2">
      <c r="B27" t="s">
        <v>50</v>
      </c>
      <c r="C27" s="11" t="s">
        <v>8</v>
      </c>
      <c r="D27" s="11" t="s">
        <v>9</v>
      </c>
      <c r="E27" s="11" t="s">
        <v>10</v>
      </c>
      <c r="F27" s="11" t="s">
        <v>11</v>
      </c>
      <c r="G27" s="11" t="s">
        <v>51</v>
      </c>
      <c r="I27" s="11" t="s">
        <v>5</v>
      </c>
    </row>
    <row r="28" spans="2:9" x14ac:dyDescent="0.2">
      <c r="B28" t="s">
        <v>84</v>
      </c>
      <c r="C28" s="11" t="e">
        <f>SUMIF([4]CCMS_CIVIL_EXCEPTIONS_EXP!$L:$L,C$27,[4]CCMS_CIVIL_EXCEPTIONS_EXP!$O:$O)</f>
        <v>#VALUE!</v>
      </c>
      <c r="D28" s="11" t="e">
        <f>SUMIF([4]CCMS_CIVIL_EXCEPTIONS_EXP!$L:$L,D$27,[4]CCMS_CIVIL_EXCEPTIONS_EXP!$O:$O)</f>
        <v>#VALUE!</v>
      </c>
      <c r="E28" s="11" t="e">
        <f>SUMIF([4]CCMS_CIVIL_EXCEPTIONS_EXP!$L:$L,E$27,[4]CCMS_CIVIL_EXCEPTIONS_EXP!$O:$O)</f>
        <v>#VALUE!</v>
      </c>
      <c r="F28" s="11" t="e">
        <f>SUMIF([4]CCMS_CIVIL_EXCEPTIONS_EXP!$L:$L,F$27,[4]CCMS_CIVIL_EXCEPTIONS_EXP!$O:$O)</f>
        <v>#VALUE!</v>
      </c>
      <c r="G28" s="11" t="e">
        <f>SUMIF([4]CCMS_CIVIL_EXCEPTIONS_EXP!$L:$L,G$27,[4]CCMS_CIVIL_EXCEPTIONS_EXP!$O:$O)</f>
        <v>#VALUE!</v>
      </c>
      <c r="I28" s="11" t="e">
        <f t="shared" ref="I28:I39" si="1">SUM(C28:H28)</f>
        <v>#VALUE!</v>
      </c>
    </row>
    <row r="29" spans="2:9" x14ac:dyDescent="0.2">
      <c r="B29" t="s">
        <v>85</v>
      </c>
      <c r="C29" s="11" t="e">
        <f>SUMIF([4]CCMS_CIVIL_EXCEPTIONS_EXP!$L:$L,C$27,[4]CCMS_CIVIL_EXCEPTIONS_EXP!$V:$V)*-1</f>
        <v>#VALUE!</v>
      </c>
      <c r="D29" s="11" t="e">
        <f>SUMIF([4]CCMS_CIVIL_EXCEPTIONS_EXP!$L:$L,D$27,[4]CCMS_CIVIL_EXCEPTIONS_EXP!$V:$V)*-1</f>
        <v>#VALUE!</v>
      </c>
      <c r="E29" s="11" t="e">
        <f>SUMIF([4]CCMS_CIVIL_EXCEPTIONS_EXP!$L:$L,E$27,[4]CCMS_CIVIL_EXCEPTIONS_EXP!$V:$V)*-1</f>
        <v>#VALUE!</v>
      </c>
      <c r="F29" s="11" t="e">
        <f>SUMIF([4]CCMS_CIVIL_EXCEPTIONS_EXP!$L:$L,F$27,[4]CCMS_CIVIL_EXCEPTIONS_EXP!$V:$V)*-1</f>
        <v>#VALUE!</v>
      </c>
      <c r="G29" s="11" t="e">
        <f>SUMIF([4]CCMS_CIVIL_EXCEPTIONS_EXP!$L:$L,G$27,[4]CCMS_CIVIL_EXCEPTIONS_EXP!$V:$V)*-1</f>
        <v>#VALUE!</v>
      </c>
      <c r="I29" s="11" t="e">
        <f t="shared" si="1"/>
        <v>#VALUE!</v>
      </c>
    </row>
    <row r="30" spans="2:9" x14ac:dyDescent="0.2">
      <c r="B30" t="s">
        <v>86</v>
      </c>
      <c r="C30" s="11" t="e">
        <f>SUMIF([4]CCMS_CIVIL_EXCEPTIONS_EXP!$L:$L,C$27,[4]CCMS_CIVIL_EXCEPTIONS_EXP!$T:$T)*-1</f>
        <v>#VALUE!</v>
      </c>
      <c r="D30" s="11" t="e">
        <f>SUMIF([4]CCMS_CIVIL_EXCEPTIONS_EXP!$L:$L,D$27,[4]CCMS_CIVIL_EXCEPTIONS_EXP!$T:$T)*-1</f>
        <v>#VALUE!</v>
      </c>
      <c r="E30" s="11" t="e">
        <f>SUMIF([4]CCMS_CIVIL_EXCEPTIONS_EXP!$L:$L,E$27,[4]CCMS_CIVIL_EXCEPTIONS_EXP!$T:$T)*-1</f>
        <v>#VALUE!</v>
      </c>
      <c r="F30" s="11" t="e">
        <f>SUMIF([4]CCMS_CIVIL_EXCEPTIONS_EXP!$L:$L,F$27,[4]CCMS_CIVIL_EXCEPTIONS_EXP!$T:$T)*-1</f>
        <v>#VALUE!</v>
      </c>
      <c r="G30" s="11" t="e">
        <f>SUMIF([4]CCMS_CIVIL_EXCEPTIONS_EXP!$L:$L,G$27,[4]CCMS_CIVIL_EXCEPTIONS_EXP!$T:$T)*-1</f>
        <v>#VALUE!</v>
      </c>
      <c r="I30" s="11" t="e">
        <f t="shared" si="1"/>
        <v>#VALUE!</v>
      </c>
    </row>
    <row r="31" spans="2:9" x14ac:dyDescent="0.2">
      <c r="B31" t="s">
        <v>87</v>
      </c>
      <c r="C31" s="11" t="e">
        <f>(SUMIF([4]CCMS_CIVIL_EXCEPTIONS_EXP!$L:$L,C$27,[4]CCMS_CIVIL_EXCEPTIONS_EXP!$S:$S)*-1)-C30</f>
        <v>#VALUE!</v>
      </c>
      <c r="D31" s="11" t="e">
        <f>(SUMIF([4]CCMS_CIVIL_EXCEPTIONS_EXP!$L:$L,D$27,[4]CCMS_CIVIL_EXCEPTIONS_EXP!$S:$S)*-1)-D30</f>
        <v>#VALUE!</v>
      </c>
      <c r="E31" s="11" t="e">
        <f>(SUMIF([4]CCMS_CIVIL_EXCEPTIONS_EXP!$L:$L,E$27,[4]CCMS_CIVIL_EXCEPTIONS_EXP!$S:$S)*-1)-E30</f>
        <v>#VALUE!</v>
      </c>
      <c r="F31" s="11" t="e">
        <f>(SUMIF([4]CCMS_CIVIL_EXCEPTIONS_EXP!$L:$L,F$27,[4]CCMS_CIVIL_EXCEPTIONS_EXP!$S:$S)*-1)-F30</f>
        <v>#VALUE!</v>
      </c>
      <c r="G31" s="11" t="e">
        <f>(SUMIF([4]CCMS_CIVIL_EXCEPTIONS_EXP!$L:$L,G$27,[4]CCMS_CIVIL_EXCEPTIONS_EXP!$S:$S)*-1)-G30</f>
        <v>#VALUE!</v>
      </c>
      <c r="I31" s="11" t="e">
        <f t="shared" si="1"/>
        <v>#VALUE!</v>
      </c>
    </row>
    <row r="32" spans="2:9" x14ac:dyDescent="0.2">
      <c r="B32" t="s">
        <v>88</v>
      </c>
      <c r="C32" s="11" t="e">
        <f>SUMIF([4]CCMS_CIVIL_EXCEPTIONS_EXP!$L:$L,C$27,[4]CCMS_CIVIL_EXCEPTIONS_EXP!$Z:$Z)*-1</f>
        <v>#VALUE!</v>
      </c>
      <c r="D32" s="11" t="e">
        <f>SUMIF([4]CCMS_CIVIL_EXCEPTIONS_EXP!$L:$L,D$27,[4]CCMS_CIVIL_EXCEPTIONS_EXP!$Z:$Z)*-1</f>
        <v>#VALUE!</v>
      </c>
      <c r="E32" s="11" t="e">
        <f>SUMIF([4]CCMS_CIVIL_EXCEPTIONS_EXP!$L:$L,E$27,[4]CCMS_CIVIL_EXCEPTIONS_EXP!$Z:$Z)*-1</f>
        <v>#VALUE!</v>
      </c>
      <c r="F32" s="11" t="e">
        <f>SUMIF([4]CCMS_CIVIL_EXCEPTIONS_EXP!$L:$L,F$27,[4]CCMS_CIVIL_EXCEPTIONS_EXP!$Z:$Z)*-1</f>
        <v>#VALUE!</v>
      </c>
      <c r="G32" s="11" t="e">
        <f>SUMIF([4]CCMS_CIVIL_EXCEPTIONS_EXP!$L:$L,G$27,[4]CCMS_CIVIL_EXCEPTIONS_EXP!$Z:$Z)*-1</f>
        <v>#VALUE!</v>
      </c>
      <c r="I32" s="11" t="e">
        <f t="shared" si="1"/>
        <v>#VALUE!</v>
      </c>
    </row>
    <row r="33" spans="2:9" x14ac:dyDescent="0.2">
      <c r="B33" t="s">
        <v>89</v>
      </c>
      <c r="C33" s="11" t="e">
        <f>SUMIF([4]CCMS_CIVIL_EXCEPTIONS_EXP!$L:$L,C$27,[4]CCMS_CIVIL_EXCEPTIONS_EXP!$Y:$Y)*-1</f>
        <v>#VALUE!</v>
      </c>
      <c r="D33" s="11" t="e">
        <f>SUMIF([4]CCMS_CIVIL_EXCEPTIONS_EXP!$L:$L,D$27,[4]CCMS_CIVIL_EXCEPTIONS_EXP!$Y:$Y)*-1</f>
        <v>#VALUE!</v>
      </c>
      <c r="E33" s="11" t="e">
        <f>SUMIF([4]CCMS_CIVIL_EXCEPTIONS_EXP!$L:$L,E$27,[4]CCMS_CIVIL_EXCEPTIONS_EXP!$Y:$Y)*-1</f>
        <v>#VALUE!</v>
      </c>
      <c r="F33" s="11" t="e">
        <f>SUMIF([4]CCMS_CIVIL_EXCEPTIONS_EXP!$L:$L,F$27,[4]CCMS_CIVIL_EXCEPTIONS_EXP!$Y:$Y)*-1</f>
        <v>#VALUE!</v>
      </c>
      <c r="G33" s="11" t="e">
        <f>SUMIF([4]CCMS_CIVIL_EXCEPTIONS_EXP!$L:$L,G$27,[4]CCMS_CIVIL_EXCEPTIONS_EXP!$Y:$Y)*-1</f>
        <v>#VALUE!</v>
      </c>
      <c r="I33" s="11" t="e">
        <f t="shared" si="1"/>
        <v>#VALUE!</v>
      </c>
    </row>
    <row r="34" spans="2:9" x14ac:dyDescent="0.2">
      <c r="B34" t="s">
        <v>90</v>
      </c>
      <c r="C34" s="11" t="e">
        <f>SUMIF([4]CCMS_CIVIL_EXCEPTIONS_EXP!$L:$L,C$27,[4]CCMS_CIVIL_EXCEPTIONS_EXP!$X:$X)*-1</f>
        <v>#VALUE!</v>
      </c>
      <c r="D34" s="11" t="e">
        <f>SUMIF([4]CCMS_CIVIL_EXCEPTIONS_EXP!$L:$L,D$27,[4]CCMS_CIVIL_EXCEPTIONS_EXP!$X:$X)*-1</f>
        <v>#VALUE!</v>
      </c>
      <c r="E34" s="11" t="e">
        <f>SUMIF([4]CCMS_CIVIL_EXCEPTIONS_EXP!$L:$L,E$27,[4]CCMS_CIVIL_EXCEPTIONS_EXP!$X:$X)*-1</f>
        <v>#VALUE!</v>
      </c>
      <c r="F34" s="11" t="e">
        <f>SUMIF([4]CCMS_CIVIL_EXCEPTIONS_EXP!$L:$L,F$27,[4]CCMS_CIVIL_EXCEPTIONS_EXP!$X:$X)*-1</f>
        <v>#VALUE!</v>
      </c>
      <c r="G34" s="11" t="e">
        <f>SUMIF([4]CCMS_CIVIL_EXCEPTIONS_EXP!$L:$L,G$27,[4]CCMS_CIVIL_EXCEPTIONS_EXP!$X:$X)*-1</f>
        <v>#VALUE!</v>
      </c>
      <c r="I34" s="11" t="e">
        <f t="shared" si="1"/>
        <v>#VALUE!</v>
      </c>
    </row>
    <row r="35" spans="2:9" x14ac:dyDescent="0.2">
      <c r="B35" t="s">
        <v>91</v>
      </c>
      <c r="C35" s="11" t="e">
        <f>SUMIF([4]CCMS_CIVIL_EXCEPTIONS_EXP!$L:$L,C$27,[4]CCMS_CIVIL_EXCEPTIONS_EXP!$W:$W)*-1</f>
        <v>#VALUE!</v>
      </c>
      <c r="D35" s="11" t="e">
        <f>SUMIF([4]CCMS_CIVIL_EXCEPTIONS_EXP!$L:$L,D$27,[4]CCMS_CIVIL_EXCEPTIONS_EXP!$W:$W)*-1</f>
        <v>#VALUE!</v>
      </c>
      <c r="E35" s="11" t="e">
        <f>SUMIF([4]CCMS_CIVIL_EXCEPTIONS_EXP!$L:$L,E$27,[4]CCMS_CIVIL_EXCEPTIONS_EXP!$W:$W)*-1</f>
        <v>#VALUE!</v>
      </c>
      <c r="F35" s="11" t="e">
        <f>SUMIF([4]CCMS_CIVIL_EXCEPTIONS_EXP!$L:$L,F$27,[4]CCMS_CIVIL_EXCEPTIONS_EXP!$W:$W)*-1</f>
        <v>#VALUE!</v>
      </c>
      <c r="G35" s="11" t="e">
        <f>SUMIF([4]CCMS_CIVIL_EXCEPTIONS_EXP!$L:$L,G$27,[4]CCMS_CIVIL_EXCEPTIONS_EXP!$W:$W)*-1</f>
        <v>#VALUE!</v>
      </c>
      <c r="I35" s="11" t="e">
        <f t="shared" si="1"/>
        <v>#VALUE!</v>
      </c>
    </row>
    <row r="36" spans="2:9" x14ac:dyDescent="0.2">
      <c r="B36" t="s">
        <v>92</v>
      </c>
      <c r="C36" s="11" t="e">
        <f>SUMIF([4]CCMS_CIVIL_EXCEPTIONS_EXP!$L:$L,C$27,[4]CCMS_CIVIL_EXCEPTIONS_EXP!$AB:$AB)</f>
        <v>#VALUE!</v>
      </c>
      <c r="D36" s="11" t="e">
        <f>SUMIF([4]CCMS_CIVIL_EXCEPTIONS_EXP!$L:$L,D$27,[4]CCMS_CIVIL_EXCEPTIONS_EXP!$AB:$AB)</f>
        <v>#VALUE!</v>
      </c>
      <c r="E36" s="11" t="e">
        <f>SUMIF([4]CCMS_CIVIL_EXCEPTIONS_EXP!$L:$L,E$27,[4]CCMS_CIVIL_EXCEPTIONS_EXP!$AB:$AB)</f>
        <v>#VALUE!</v>
      </c>
      <c r="F36" s="11" t="e">
        <f>SUMIF([4]CCMS_CIVIL_EXCEPTIONS_EXP!$L:$L,F$27,[4]CCMS_CIVIL_EXCEPTIONS_EXP!$AB:$AB)</f>
        <v>#VALUE!</v>
      </c>
      <c r="G36" s="11" t="e">
        <f>SUMIF([4]CCMS_CIVIL_EXCEPTIONS_EXP!$L:$L,G$27,[4]CCMS_CIVIL_EXCEPTIONS_EXP!$AB:$AB)</f>
        <v>#VALUE!</v>
      </c>
      <c r="I36" s="11" t="e">
        <f t="shared" si="1"/>
        <v>#VALUE!</v>
      </c>
    </row>
    <row r="37" spans="2:9" x14ac:dyDescent="0.2">
      <c r="B37" t="s">
        <v>93</v>
      </c>
      <c r="C37" s="11" t="e">
        <f>SUMIF([4]CCMS_CIVIL_EXCEPTIONS_EXP!$L:$L,C$27,[4]CCMS_CIVIL_EXCEPTIONS_EXP!$AA:$AA)</f>
        <v>#VALUE!</v>
      </c>
      <c r="D37" s="11" t="e">
        <f>SUMIF([4]CCMS_CIVIL_EXCEPTIONS_EXP!$L:$L,D$27,[4]CCMS_CIVIL_EXCEPTIONS_EXP!$AA:$AA)</f>
        <v>#VALUE!</v>
      </c>
      <c r="E37" s="11" t="e">
        <f>SUMIF([4]CCMS_CIVIL_EXCEPTIONS_EXP!$L:$L,E$27,[4]CCMS_CIVIL_EXCEPTIONS_EXP!$AA:$AA)</f>
        <v>#VALUE!</v>
      </c>
      <c r="F37" s="11" t="e">
        <f>SUMIF([4]CCMS_CIVIL_EXCEPTIONS_EXP!$L:$L,F$27,[4]CCMS_CIVIL_EXCEPTIONS_EXP!$AA:$AA)</f>
        <v>#VALUE!</v>
      </c>
      <c r="G37" s="11" t="e">
        <f>SUMIF([4]CCMS_CIVIL_EXCEPTIONS_EXP!$L:$L,G$27,[4]CCMS_CIVIL_EXCEPTIONS_EXP!$AA:$AA)</f>
        <v>#VALUE!</v>
      </c>
      <c r="I37" s="11" t="e">
        <f t="shared" si="1"/>
        <v>#VALUE!</v>
      </c>
    </row>
    <row r="38" spans="2:9" x14ac:dyDescent="0.2">
      <c r="B38" t="s">
        <v>94</v>
      </c>
      <c r="C38" s="11" t="e">
        <f>SUMIF([4]CCMS_CIVIL_EXCEPTIONS_EXP!$L:$L,C$27,[4]CCMS_CIVIL_EXCEPTIONS_EXP!$Q:$Q)</f>
        <v>#VALUE!</v>
      </c>
      <c r="D38" s="11" t="e">
        <f>SUMIF([4]CCMS_CIVIL_EXCEPTIONS_EXP!$L:$L,D$27,[4]CCMS_CIVIL_EXCEPTIONS_EXP!$Q:$Q)</f>
        <v>#VALUE!</v>
      </c>
      <c r="E38" s="11" t="e">
        <f>SUMIF([4]CCMS_CIVIL_EXCEPTIONS_EXP!$L:$L,E$27,[4]CCMS_CIVIL_EXCEPTIONS_EXP!$Q:$Q)</f>
        <v>#VALUE!</v>
      </c>
      <c r="F38" s="11" t="e">
        <f>SUMIF([4]CCMS_CIVIL_EXCEPTIONS_EXP!$L:$L,F$27,[4]CCMS_CIVIL_EXCEPTIONS_EXP!$Q:$Q)</f>
        <v>#VALUE!</v>
      </c>
      <c r="G38" s="11" t="e">
        <f>SUMIF([4]CCMS_CIVIL_EXCEPTIONS_EXP!$L:$L,G$27,[4]CCMS_CIVIL_EXCEPTIONS_EXP!$Q:$Q)</f>
        <v>#VALUE!</v>
      </c>
      <c r="I38" s="11" t="e">
        <f t="shared" si="1"/>
        <v>#VALUE!</v>
      </c>
    </row>
    <row r="39" spans="2:9" x14ac:dyDescent="0.2">
      <c r="B39" t="s">
        <v>95</v>
      </c>
      <c r="C39" s="11" t="e">
        <f>SUMIF([4]CCMS_CIVIL_EXCEPTIONS_EXP!$L:$L,C$27,[4]CCMS_CIVIL_EXCEPTIONS_EXP!$P:$P)</f>
        <v>#VALUE!</v>
      </c>
      <c r="D39" s="11" t="e">
        <f>SUMIF([4]CCMS_CIVIL_EXCEPTIONS_EXP!$L:$L,D$27,[4]CCMS_CIVIL_EXCEPTIONS_EXP!$P:$P)</f>
        <v>#VALUE!</v>
      </c>
      <c r="E39" s="11" t="e">
        <f>SUMIF([4]CCMS_CIVIL_EXCEPTIONS_EXP!$L:$L,E$27,[4]CCMS_CIVIL_EXCEPTIONS_EXP!$P:$P)</f>
        <v>#VALUE!</v>
      </c>
      <c r="F39" s="11" t="e">
        <f>SUMIF([4]CCMS_CIVIL_EXCEPTIONS_EXP!$L:$L,F$27,[4]CCMS_CIVIL_EXCEPTIONS_EXP!$P:$P)</f>
        <v>#VALUE!</v>
      </c>
      <c r="G39" s="11" t="e">
        <f>SUMIF([4]CCMS_CIVIL_EXCEPTIONS_EXP!$L:$L,G$27,[4]CCMS_CIVIL_EXCEPTIONS_EXP!$P:$P)</f>
        <v>#VALUE!</v>
      </c>
      <c r="I39" s="11" t="e">
        <f t="shared" si="1"/>
        <v>#VALUE!</v>
      </c>
    </row>
    <row r="41" spans="2:9" x14ac:dyDescent="0.2">
      <c r="B41" t="s">
        <v>59</v>
      </c>
      <c r="C41" s="11" t="e">
        <f>C28-C30-C31-C33-C35-C37-C39</f>
        <v>#VALUE!</v>
      </c>
      <c r="D41" s="11" t="e">
        <f>D28-D30-D31-D33-D35-D37-D39</f>
        <v>#VALUE!</v>
      </c>
      <c r="E41" s="11" t="e">
        <f>E28-E30-E31-E33-E35-E37-E39</f>
        <v>#VALUE!</v>
      </c>
      <c r="F41" s="11" t="e">
        <f>F28-F30-F31-F33-F35-F37-F39</f>
        <v>#VALUE!</v>
      </c>
      <c r="G41" s="11" t="e">
        <f>G28-G30-G31-G33-G35-G37-G39</f>
        <v>#VALUE!</v>
      </c>
      <c r="I41" s="11" t="e">
        <f>I28-I30-I31-I33-I35-I37-I39</f>
        <v>#VALUE!</v>
      </c>
    </row>
    <row r="43" spans="2:9" x14ac:dyDescent="0.2">
      <c r="B43" t="s">
        <v>75</v>
      </c>
      <c r="C43" s="11" t="e">
        <f>-C29-C32-C34-C36-C38</f>
        <v>#VALUE!</v>
      </c>
      <c r="D43" s="11" t="e">
        <f>-D29-D32-D34-D36-D38</f>
        <v>#VALUE!</v>
      </c>
      <c r="E43" s="11" t="e">
        <f>-E29-E32-E34-E36-E38</f>
        <v>#VALUE!</v>
      </c>
      <c r="F43" s="11" t="e">
        <f>-F29-F32-F34-F36-F38</f>
        <v>#VALUE!</v>
      </c>
      <c r="G43" s="11" t="e">
        <f>-G29-G32-G34-G36-G38</f>
        <v>#VALUE!</v>
      </c>
      <c r="I43" s="11" t="e">
        <f>-I29-I32-I34-I36-I38</f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3:H9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50.83203125" bestFit="1" customWidth="1"/>
    <col min="2" max="2" width="14.6640625" bestFit="1" customWidth="1"/>
    <col min="3" max="4" width="12.5" bestFit="1" customWidth="1"/>
    <col min="5" max="5" width="14.33203125" bestFit="1" customWidth="1"/>
    <col min="6" max="6" width="17" bestFit="1" customWidth="1"/>
    <col min="7" max="7" width="3.6640625" customWidth="1"/>
    <col min="8" max="8" width="14.33203125" bestFit="1" customWidth="1"/>
  </cols>
  <sheetData>
    <row r="3" spans="1:8" x14ac:dyDescent="0.2">
      <c r="B3" t="s">
        <v>8</v>
      </c>
      <c r="C3" t="s">
        <v>9</v>
      </c>
      <c r="D3" t="s">
        <v>10</v>
      </c>
      <c r="E3" t="s">
        <v>11</v>
      </c>
      <c r="F3" t="s">
        <v>51</v>
      </c>
      <c r="H3" t="s">
        <v>5</v>
      </c>
    </row>
    <row r="4" spans="1:8" x14ac:dyDescent="0.2">
      <c r="A4" t="s">
        <v>112</v>
      </c>
      <c r="B4" t="e">
        <f>#REF!</f>
        <v>#REF!</v>
      </c>
      <c r="C4" t="e">
        <f>#REF!</f>
        <v>#REF!</v>
      </c>
      <c r="D4" t="e">
        <f>#REF!</f>
        <v>#REF!</v>
      </c>
      <c r="E4" t="e">
        <f>#REF!</f>
        <v>#REF!</v>
      </c>
      <c r="F4" t="e">
        <f>#REF!</f>
        <v>#REF!</v>
      </c>
      <c r="H4" t="e">
        <f>SUM(B4:G4)</f>
        <v>#REF!</v>
      </c>
    </row>
    <row r="6" spans="1:8" x14ac:dyDescent="0.2">
      <c r="A6" t="s">
        <v>113</v>
      </c>
      <c r="B6" t="e">
        <f>SUMIF([1]CCMS_CASE_TOTALS_TRUE!$GV:$GV,"N",[1]CCMS_CASE_TOTALS_TRUE!EY:EY)</f>
        <v>#VALUE!</v>
      </c>
      <c r="C6" t="e">
        <f>SUMIF([1]CCMS_CASE_TOTALS_TRUE!$GV:$GV,"N",[1]CCMS_CASE_TOTALS_TRUE!FF:FF)</f>
        <v>#VALUE!</v>
      </c>
      <c r="D6" t="e">
        <f>SUMIF([1]CCMS_CASE_TOTALS_TRUE!$GV:$GV,"N",[1]CCMS_CASE_TOTALS_TRUE!FM:FM)</f>
        <v>#VALUE!</v>
      </c>
      <c r="E6" t="e">
        <f>SUMIF([1]CCMS_CASE_TOTALS_TRUE!$GV:$GV,"N",[1]CCMS_CASE_TOTALS_TRUE!FT:FT)</f>
        <v>#VALUE!</v>
      </c>
      <c r="F6" t="e">
        <f>SUMIF([1]CCMS_CASE_TOTALS_TRUE!$GV:$GV,"N",[1]CCMS_CASE_TOTALS_TRUE!GA:GA)</f>
        <v>#VALUE!</v>
      </c>
      <c r="H6" t="e">
        <f>SUM(B6:G6)</f>
        <v>#VALUE!</v>
      </c>
    </row>
    <row r="7" spans="1:8" x14ac:dyDescent="0.2">
      <c r="A7" t="s">
        <v>114</v>
      </c>
      <c r="B7" t="e">
        <f>B4-B6</f>
        <v>#REF!</v>
      </c>
      <c r="C7" t="e">
        <f>C4-C6</f>
        <v>#REF!</v>
      </c>
      <c r="D7" t="e">
        <f>D4-D6</f>
        <v>#REF!</v>
      </c>
      <c r="E7" t="e">
        <f>E4-E6</f>
        <v>#REF!</v>
      </c>
      <c r="F7" t="e">
        <f>F4-F6</f>
        <v>#REF!</v>
      </c>
      <c r="H7" t="e">
        <f>SUM(B7:G7)</f>
        <v>#REF!</v>
      </c>
    </row>
    <row r="9" spans="1:8" x14ac:dyDescent="0.2">
      <c r="A9" t="s">
        <v>115</v>
      </c>
      <c r="B9" t="e">
        <f>COUNTIF([1]CCMS_CASE_TOTALS_TRUE!HB:HB,"&gt;0")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MAIN WOFF MIG ERROR</vt:lpstr>
      <vt:lpstr>Reconciliation</vt:lpstr>
      <vt:lpstr>Age Profile</vt:lpstr>
      <vt:lpstr>Civil Movement Report</vt:lpstr>
      <vt:lpstr>All Debts by Type Summary</vt:lpstr>
      <vt:lpstr>Civil Debt Exceptions</vt:lpstr>
      <vt:lpstr>Third Party Cash Receipt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Moran, William (LAA)</dc:creator>
  <cp:lastModifiedBy>Buczek, Robert</cp:lastModifiedBy>
  <dcterms:created xsi:type="dcterms:W3CDTF">2011-07-26T10:15:04Z</dcterms:created>
  <dcterms:modified xsi:type="dcterms:W3CDTF">2025-06-19T14:10:09Z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0x01010050B3361E0499424DBCAEEF99972D696F</vt:lpwstr>
  </property>
  <property fmtid="{D5CDD505-2E9C-101B-9397-08002B2CF9AE}" pid="3" name="MediaServiceImageTags">
    <vt:lpwstr/>
  </property>
</Properties>
</file>